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hase 1 Sessions" sheetId="1" state="visible" r:id="rId1"/>
    <sheet xmlns:r="http://schemas.openxmlformats.org/officeDocument/2006/relationships" name="Phase 1 Vectors" sheetId="2" state="visible" r:id="rId2"/>
    <sheet xmlns:r="http://schemas.openxmlformats.org/officeDocument/2006/relationships" name="Phase 1 Analysis" sheetId="3" state="visible" r:id="rId3"/>
    <sheet xmlns:r="http://schemas.openxmlformats.org/officeDocument/2006/relationships" name="P2.1 Test Sessions" sheetId="4" state="visible" r:id="rId4"/>
    <sheet xmlns:r="http://schemas.openxmlformats.org/officeDocument/2006/relationships" name="P2.1 Vector Profiles" sheetId="5" state="visible" r:id="rId5"/>
    <sheet xmlns:r="http://schemas.openxmlformats.org/officeDocument/2006/relationships" name="P2.1 Analysis" sheetId="6" state="visible" r:id="rId6"/>
    <sheet xmlns:r="http://schemas.openxmlformats.org/officeDocument/2006/relationships" name="Cluster Reference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5F5F5"/>
        <bgColor rgb="FFE8F0FE"/>
      </patternFill>
    </fill>
    <fill>
      <patternFill patternType="solid">
        <fgColor rgb="FFE8F0FE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FFD4D4"/>
        <bgColor rgb="FFFFF3CD"/>
      </patternFill>
    </fill>
    <fill>
      <patternFill patternType="solid">
        <fgColor rgb="FFD4EDDA"/>
        <bgColor rgb="FFE8F0FE"/>
      </patternFill>
    </fill>
    <fill>
      <patternFill patternType="solid">
        <fgColor rgb="001A1A2E"/>
      </patternFill>
    </fill>
    <fill>
      <patternFill patternType="solid">
        <fgColor rgb="00F0F0FF"/>
      </patternFill>
    </fill>
    <fill>
      <patternFill patternType="solid">
        <fgColor rgb="00FFD93D"/>
      </patternFill>
    </fill>
    <fill>
      <patternFill patternType="solid">
        <fgColor rgb="00FF6B6B"/>
      </patternFill>
    </fill>
    <fill>
      <patternFill patternType="solid">
        <fgColor rgb="006BCB77"/>
      </patternFill>
    </fill>
    <fill>
      <patternFill patternType="solid">
        <fgColor rgb="00A8D8E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164" fontId="5" fillId="3" borderId="1" applyAlignment="1" pivotButton="0" quotePrefix="0" xfId="0">
      <alignment horizontal="center" vertical="bottom"/>
    </xf>
    <xf numFmtId="164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0" fillId="4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2" fontId="5" fillId="7" borderId="1" applyAlignment="1" pivotButton="0" quotePrefix="0" xfId="0">
      <alignment horizontal="center" vertical="bottom"/>
    </xf>
    <xf numFmtId="2" fontId="5" fillId="6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164" fontId="5" fillId="3" borderId="1" applyAlignment="1" pivotButton="0" quotePrefix="0" xfId="0">
      <alignment horizontal="center" vertical="bottom"/>
    </xf>
    <xf numFmtId="164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0" fillId="4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0" fontId="9" fillId="9" borderId="2" pivotButton="0" quotePrefix="0" xfId="0"/>
    <xf numFmtId="0" fontId="8" fillId="9" borderId="2" pivotButton="0" quotePrefix="0" xfId="0"/>
    <xf numFmtId="164" fontId="8" fillId="9" borderId="2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8" fillId="10" borderId="2" applyAlignment="1" pivotButton="0" quotePrefix="0" xfId="0">
      <alignment horizontal="center"/>
    </xf>
    <xf numFmtId="0" fontId="7" fillId="11" borderId="2" applyAlignment="1" pivotButton="0" quotePrefix="0" xfId="0">
      <alignment horizontal="center"/>
    </xf>
    <xf numFmtId="0" fontId="9" fillId="0" borderId="2" pivotButton="0" quotePrefix="0" xfId="0"/>
    <xf numFmtId="0" fontId="8" fillId="0" borderId="2" pivotButton="0" quotePrefix="0" xfId="0"/>
    <xf numFmtId="164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12" borderId="2" applyAlignment="1" pivotButton="0" quotePrefix="0" xfId="0">
      <alignment vertical="center" wrapText="1"/>
    </xf>
    <xf numFmtId="0" fontId="8" fillId="10" borderId="2" applyAlignment="1" pivotButton="0" quotePrefix="0" xfId="0">
      <alignment vertical="center" wrapText="1"/>
    </xf>
    <xf numFmtId="0" fontId="7" fillId="11" borderId="2" applyAlignment="1" pivotButton="0" quotePrefix="0" xfId="0">
      <alignment vertical="center" wrapText="1"/>
    </xf>
    <xf numFmtId="0" fontId="8" fillId="13" borderId="2" applyAlignment="1" pivotButton="0" quotePrefix="0" xfId="0">
      <alignment vertical="center" wrapText="1"/>
    </xf>
    <xf numFmtId="0" fontId="5" fillId="0" borderId="1" applyAlignment="1" pivotButton="0" quotePrefix="0" xfId="0">
      <alignment horizontal="general" vertical="bottom"/>
    </xf>
    <xf numFmtId="2" fontId="5" fillId="7" borderId="1" applyAlignment="1" pivotButton="0" quotePrefix="0" xfId="0">
      <alignment horizontal="center" vertical="bottom"/>
    </xf>
    <xf numFmtId="2" fontId="5" fillId="6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FD4D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12" customWidth="1" style="25" min="2" max="2"/>
    <col width="40" customWidth="1" style="25" min="3" max="3"/>
    <col width="22" customWidth="1" style="25" min="4" max="8"/>
    <col width="12" customWidth="1" style="25" min="9" max="9"/>
    <col width="28" customWidth="1" style="25" min="10" max="10"/>
    <col width="20" customWidth="1" style="25" min="11" max="11"/>
    <col width="28" customWidth="1" style="25" min="12" max="12"/>
    <col width="20" customWidth="1" style="25" min="13" max="13"/>
    <col width="28" customWidth="1" style="25" min="14" max="14"/>
    <col width="20" customWidth="1" style="25" min="15" max="15"/>
    <col width="28" customWidth="1" style="25" min="16" max="16"/>
    <col width="20" customWidth="1" style="25" min="17" max="17"/>
    <col width="28" customWidth="1" style="25" min="18" max="18"/>
    <col width="20" customWidth="1" style="25" min="19" max="19"/>
    <col width="28" customWidth="1" style="25" min="20" max="20"/>
    <col width="20" customWidth="1" style="25" min="21" max="21"/>
    <col width="28" customWidth="1" style="25" min="22" max="22"/>
    <col width="20" customWidth="1" style="25" min="23" max="23"/>
    <col width="28" customWidth="1" style="25" min="24" max="24"/>
    <col width="20" customWidth="1" style="25" min="25" max="25"/>
    <col width="28" customWidth="1" style="25" min="26" max="26"/>
    <col width="20" customWidth="1" style="25" min="27" max="27"/>
    <col width="28" customWidth="1" style="25" min="28" max="28"/>
    <col width="20" customWidth="1" style="25" min="29" max="29"/>
  </cols>
  <sheetData>
    <row r="1" ht="26.25" customHeight="1" s="26">
      <c r="A1" s="27" t="inlineStr">
        <is>
          <t>Session #</t>
        </is>
      </c>
      <c r="B1" s="27" t="inlineStr">
        <is>
          <t>Date</t>
        </is>
      </c>
      <c r="C1" s="27" t="inlineStr">
        <is>
          <t>Notes</t>
        </is>
      </c>
      <c r="D1" s="27" t="inlineStr">
        <is>
          <t>Cluster 1</t>
        </is>
      </c>
      <c r="E1" s="27" t="inlineStr">
        <is>
          <t>Cluster 2</t>
        </is>
      </c>
      <c r="F1" s="27" t="inlineStr">
        <is>
          <t>Cluster 3</t>
        </is>
      </c>
      <c r="G1" s="27" t="inlineStr">
        <is>
          <t>Cluster 4</t>
        </is>
      </c>
      <c r="H1" s="27" t="inlineStr">
        <is>
          <t>Cluster 5</t>
        </is>
      </c>
      <c r="I1" s="27" t="inlineStr">
        <is>
          <t>Cluster Count</t>
        </is>
      </c>
      <c r="J1" s="27" t="inlineStr">
        <is>
          <t>Q1 Matchup</t>
        </is>
      </c>
      <c r="K1" s="27" t="inlineStr">
        <is>
          <t>Q1 Pick</t>
        </is>
      </c>
      <c r="L1" s="27" t="inlineStr">
        <is>
          <t>Q2 Matchup</t>
        </is>
      </c>
      <c r="M1" s="27" t="inlineStr">
        <is>
          <t>Q2 Pick</t>
        </is>
      </c>
      <c r="N1" s="27" t="inlineStr">
        <is>
          <t>Q3 Matchup</t>
        </is>
      </c>
      <c r="O1" s="27" t="inlineStr">
        <is>
          <t>Q3 Pick</t>
        </is>
      </c>
      <c r="P1" s="27" t="inlineStr">
        <is>
          <t>Q4 Matchup</t>
        </is>
      </c>
      <c r="Q1" s="27" t="inlineStr">
        <is>
          <t>Q4 Pick</t>
        </is>
      </c>
      <c r="R1" s="27" t="inlineStr">
        <is>
          <t>Q5 Matchup</t>
        </is>
      </c>
      <c r="S1" s="27" t="inlineStr">
        <is>
          <t>Q5 Pick</t>
        </is>
      </c>
      <c r="T1" s="27" t="inlineStr">
        <is>
          <t>Q6 Matchup</t>
        </is>
      </c>
      <c r="U1" s="27" t="inlineStr">
        <is>
          <t>Q6 Pick</t>
        </is>
      </c>
      <c r="V1" s="27" t="inlineStr">
        <is>
          <t>Q7 Matchup</t>
        </is>
      </c>
      <c r="W1" s="27" t="inlineStr">
        <is>
          <t>Q7 Pick</t>
        </is>
      </c>
      <c r="X1" s="27" t="inlineStr">
        <is>
          <t>Q8 Matchup</t>
        </is>
      </c>
      <c r="Y1" s="27" t="inlineStr">
        <is>
          <t>Q8 Pick</t>
        </is>
      </c>
      <c r="Z1" s="27" t="inlineStr">
        <is>
          <t>Q9 Matchup</t>
        </is>
      </c>
      <c r="AA1" s="27" t="inlineStr">
        <is>
          <t>Q9 Pick</t>
        </is>
      </c>
      <c r="AB1" s="27" t="inlineStr">
        <is>
          <t>Q10 Matchup</t>
        </is>
      </c>
      <c r="AC1" s="27" t="inlineStr">
        <is>
          <t>Q10 Pick</t>
        </is>
      </c>
    </row>
    <row r="2" ht="23.25" customHeight="1" s="26">
      <c r="A2" s="28" t="n">
        <v>1</v>
      </c>
      <c r="B2" s="28" t="inlineStr">
        <is>
          <t>17/02/2026</t>
        </is>
      </c>
      <c r="C2" s="28" t="inlineStr">
        <is>
          <t>Initial test — intensity/pacing cap at 1.0, drama drops to 0.065</t>
        </is>
      </c>
      <c r="D2" s="28" t="inlineStr">
        <is>
          <t>Dark Thrillers</t>
        </is>
      </c>
      <c r="E2" s="28" t="inlineStr">
        <is>
          <t>Epic Sci-Fi &amp; Fantasy</t>
        </is>
      </c>
      <c r="F2" s="28" t="inlineStr">
        <is>
          <t>Mind-Bending Mysteries</t>
        </is>
      </c>
      <c r="G2" s="28" t="inlineStr">
        <is>
          <t>Feel-Good &amp; Funny</t>
        </is>
      </c>
      <c r="H2" s="28" t="inlineStr">
        <is>
          <t>History &amp; War</t>
        </is>
      </c>
      <c r="I2" s="28" t="n">
        <v>5</v>
      </c>
      <c r="J2" s="28" t="inlineStr">
        <is>
          <t>The Dark Knight vs Mamma Mia!</t>
        </is>
      </c>
      <c r="K2" s="28" t="inlineStr">
        <is>
          <t>Dark Knight</t>
        </is>
      </c>
      <c r="L2" s="28" t="inlineStr">
        <is>
          <t>Inception vs Pride &amp; Prejudice</t>
        </is>
      </c>
      <c r="M2" s="28" t="inlineStr">
        <is>
          <t>Inception</t>
        </is>
      </c>
      <c r="N2" s="28" t="inlineStr">
        <is>
          <t>Stranger Things vs The Crown</t>
        </is>
      </c>
      <c r="O2" s="28" t="inlineStr">
        <is>
          <t>Stranger Things</t>
        </is>
      </c>
      <c r="P2" s="28" t="inlineStr">
        <is>
          <t>Shawshank Redemption vs Superbad</t>
        </is>
      </c>
      <c r="Q2" s="28" t="inlineStr">
        <is>
          <t>Superbad</t>
        </is>
      </c>
      <c r="R2" s="28" t="inlineStr">
        <is>
          <t>Lord of the Rings vs Harry Potter</t>
        </is>
      </c>
      <c r="S2" s="28" t="inlineStr">
        <is>
          <t>Lord of the Rings</t>
        </is>
      </c>
      <c r="T2" s="28" t="inlineStr">
        <is>
          <t>Top Gun: Maverick vs The Lion King</t>
        </is>
      </c>
      <c r="U2" s="28" t="inlineStr">
        <is>
          <t>The Lion King</t>
        </is>
      </c>
      <c r="V2" s="28" t="inlineStr">
        <is>
          <t>The Truman Show vs Pulp Fiction</t>
        </is>
      </c>
      <c r="W2" s="28" t="inlineStr">
        <is>
          <t>Both</t>
        </is>
      </c>
      <c r="X2" s="28" t="inlineStr">
        <is>
          <t>Ocean's Eleven vs Zodiac</t>
        </is>
      </c>
      <c r="Y2" s="28" t="inlineStr">
        <is>
          <t>Zodiac</t>
        </is>
      </c>
      <c r="Z2" s="28" t="inlineStr">
        <is>
          <t>Pacific Rim vs In the Mood for Love</t>
        </is>
      </c>
      <c r="AA2" s="28" t="inlineStr">
        <is>
          <t>Neither</t>
        </is>
      </c>
      <c r="AB2" s="28" t="inlineStr">
        <is>
          <t>Wolf of Wall Street vs Amelie</t>
        </is>
      </c>
      <c r="AC2" s="28" t="inlineStr">
        <is>
          <t>Wolf of Wall Street</t>
        </is>
      </c>
    </row>
    <row r="3" ht="15" customHeight="1" s="26">
      <c r="A3" s="28" t="n">
        <v>2</v>
      </c>
      <c r="B3" s="28" t="inlineStr">
        <is>
          <t>17/02/2026</t>
        </is>
      </c>
      <c r="C3" s="28" t="inlineStr">
        <is>
          <t>Lighter tone test — tone flipped from -0.22 seed to +0.488 final. Pacing very slow (-0.843). No capped dims except pacing near floor. Drama dominated at 0.784 despite no drama cluster.</t>
        </is>
      </c>
      <c r="D3" s="28" t="inlineStr">
        <is>
          <t>Feel-Good &amp; Funny</t>
        </is>
      </c>
      <c r="E3" s="28" t="inlineStr">
        <is>
          <t>True Crime &amp; Real Stories</t>
        </is>
      </c>
      <c r="F3" s="28" t="inlineStr">
        <is>
          <t>Horror &amp; Supernatural</t>
        </is>
      </c>
      <c r="G3" s="28" t="inlineStr">
        <is>
          <t>Cult &amp; Indie</t>
        </is>
      </c>
      <c r="H3" s="28" t="inlineStr">
        <is>
          <t>Prestige &amp; Award-Winners</t>
        </is>
      </c>
      <c r="I3" s="28" t="n">
        <v>5</v>
      </c>
      <c r="J3" s="28" t="inlineStr">
        <is>
          <t>The Dark Knight vs Mamma Mia!</t>
        </is>
      </c>
      <c r="K3" s="28" t="inlineStr">
        <is>
          <t>Dark Knight</t>
        </is>
      </c>
      <c r="L3" s="28" t="inlineStr">
        <is>
          <t>Inception vs Pride &amp; Prejudice</t>
        </is>
      </c>
      <c r="M3" s="28" t="inlineStr">
        <is>
          <t>Pride &amp; Prejudice</t>
        </is>
      </c>
      <c r="N3" s="28" t="inlineStr">
        <is>
          <t>Stranger Things vs The Crown</t>
        </is>
      </c>
      <c r="O3" s="28" t="inlineStr">
        <is>
          <t>The Crown</t>
        </is>
      </c>
      <c r="P3" s="28" t="inlineStr">
        <is>
          <t>Shawshank Redemption vs Superbad</t>
        </is>
      </c>
      <c r="Q3" s="28" t="inlineStr">
        <is>
          <t>Shawshank</t>
        </is>
      </c>
      <c r="R3" s="28" t="inlineStr">
        <is>
          <t>Planet Earth II vs Making a Murderer</t>
        </is>
      </c>
      <c r="S3" s="28" t="inlineStr">
        <is>
          <t>Planet Earth II</t>
        </is>
      </c>
      <c r="T3" s="28" t="inlineStr">
        <is>
          <t>Breaking Bad vs Friends</t>
        </is>
      </c>
      <c r="U3" s="28" t="inlineStr">
        <is>
          <t>Friends</t>
        </is>
      </c>
      <c r="V3" s="28" t="inlineStr">
        <is>
          <t>Peaky Blinders vs Ted Lasso</t>
        </is>
      </c>
      <c r="W3" s="28" t="inlineStr">
        <is>
          <t>Ted Lasso</t>
        </is>
      </c>
      <c r="X3" s="28" t="inlineStr">
        <is>
          <t>Bridesmaids vs Jane Eyre</t>
        </is>
      </c>
      <c r="Y3" s="28" t="inlineStr">
        <is>
          <t>Jane Eyre</t>
        </is>
      </c>
      <c r="Z3" s="28" t="inlineStr">
        <is>
          <t>Big Bang Theory vs Vikings</t>
        </is>
      </c>
      <c r="AA3" s="28" t="inlineStr">
        <is>
          <t>Big Bang Theory</t>
        </is>
      </c>
      <c r="AB3" s="28" t="inlineStr">
        <is>
          <t>Squid Game vs Schitt's Creek</t>
        </is>
      </c>
      <c r="AC3" s="28" t="inlineStr">
        <is>
          <t>Both</t>
        </is>
      </c>
    </row>
    <row r="4" ht="15" customHeight="1" s="26">
      <c r="A4" s="28" t="n">
        <v>3</v>
      </c>
      <c r="B4" s="28" t="inlineStr">
        <is>
          <t>17/02/2026</t>
        </is>
      </c>
      <c r="C4" s="28" t="inlineStr">
        <is>
          <t>Broad cluster mix — 12 active genre dims, 5 capped (action, drama, intensity at ceiling; horror, musical at floor). Intensity hit 1.0 again despite cluster reduction. Tone nearly neutral (-0.040).</t>
        </is>
      </c>
      <c r="D4" s="28" t="inlineStr">
        <is>
          <t>Epic Sci-Fi &amp; Fantasy</t>
        </is>
      </c>
      <c r="E4" s="28" t="inlineStr">
        <is>
          <t>Action &amp; Adrenaline</t>
        </is>
      </c>
      <c r="F4" s="28" t="inlineStr">
        <is>
          <t>True Crime &amp; Real Stories</t>
        </is>
      </c>
      <c r="G4" s="28" t="inlineStr">
        <is>
          <t>Reality &amp; Entertainment</t>
        </is>
      </c>
      <c r="H4" s="28" t="inlineStr">
        <is>
          <t>Heartfelt Drama</t>
        </is>
      </c>
      <c r="I4" s="28" t="n">
        <v>5</v>
      </c>
      <c r="J4" s="28" t="inlineStr">
        <is>
          <t>The Dark Knight vs Mamma Mia!</t>
        </is>
      </c>
      <c r="K4" s="28" t="inlineStr">
        <is>
          <t>Dark Knight</t>
        </is>
      </c>
      <c r="L4" s="28" t="inlineStr">
        <is>
          <t>Inception vs Pride &amp; Prejudice</t>
        </is>
      </c>
      <c r="M4" s="28" t="inlineStr">
        <is>
          <t>Pride &amp; Prejudice</t>
        </is>
      </c>
      <c r="N4" s="28" t="inlineStr">
        <is>
          <t>Stranger Things vs The Crown</t>
        </is>
      </c>
      <c r="O4" s="28" t="inlineStr">
        <is>
          <t>The Crown</t>
        </is>
      </c>
      <c r="P4" s="28" t="inlineStr">
        <is>
          <t>Planet Earth II vs Making a Murderer</t>
        </is>
      </c>
      <c r="Q4" s="28" t="inlineStr">
        <is>
          <t>Planet Earth II</t>
        </is>
      </c>
      <c r="R4" s="28" t="inlineStr">
        <is>
          <t>Shawshank Redemption vs Superbad</t>
        </is>
      </c>
      <c r="S4" s="28" t="inlineStr">
        <is>
          <t>Shawshank</t>
        </is>
      </c>
      <c r="T4" s="28" t="inlineStr">
        <is>
          <t>The Matrix vs Titanic</t>
        </is>
      </c>
      <c r="U4" s="28" t="inlineStr">
        <is>
          <t>The Matrix</t>
        </is>
      </c>
      <c r="V4" s="28" t="inlineStr">
        <is>
          <t>Breaking Bad vs Friends</t>
        </is>
      </c>
      <c r="W4" s="28" t="inlineStr">
        <is>
          <t>Friends</t>
        </is>
      </c>
      <c r="X4" s="28" t="inlineStr">
        <is>
          <t>Black Mirror vs Queer Eye</t>
        </is>
      </c>
      <c r="Y4" s="28" t="inlineStr">
        <is>
          <t>Black Mirror</t>
        </is>
      </c>
      <c r="Z4" s="28" t="inlineStr">
        <is>
          <t>Peaky Blinders vs Ted Lasso</t>
        </is>
      </c>
      <c r="AA4" s="28" t="inlineStr">
        <is>
          <t>Peaky Blinders</t>
        </is>
      </c>
      <c r="AB4" s="28" t="inlineStr">
        <is>
          <t>Bridesmaids vs Jane Eyre</t>
        </is>
      </c>
      <c r="AC4" s="28" t="inlineStr">
        <is>
          <t>Bridesmaids</t>
        </is>
      </c>
    </row>
    <row r="5" ht="15" customHeight="1" s="26">
      <c r="A5" s="28" t="n">
        <v>4</v>
      </c>
      <c r="B5" s="28" t="inlineStr">
        <is>
          <t>17/02/2026</t>
        </is>
      </c>
      <c r="C5" s="28" t="inlineStr">
        <is>
          <t>Entertainment-forward mix — most balanced session. Intensity high (0.841) but didn't cap. Pacing flipped to fast (+0.623). Drama surprisingly low (0.124). Family appeared (0.210) from Paddington 2 quiz pick.</t>
        </is>
      </c>
      <c r="D5" s="28" t="inlineStr">
        <is>
          <t>Dark Thrillers</t>
        </is>
      </c>
      <c r="E5" s="28" t="inlineStr">
        <is>
          <t>Feel-Good &amp; Funny</t>
        </is>
      </c>
      <c r="F5" s="28" t="inlineStr">
        <is>
          <t>Action &amp; Adrenaline</t>
        </is>
      </c>
      <c r="G5" s="28" t="inlineStr">
        <is>
          <t>Rom-Coms &amp; Love Stories</t>
        </is>
      </c>
      <c r="H5" s="28" t="inlineStr">
        <is>
          <t>Epic Sci-Fi &amp; Fantasy</t>
        </is>
      </c>
      <c r="I5" s="28" t="n">
        <v>5</v>
      </c>
      <c r="J5" s="28" t="inlineStr">
        <is>
          <t>The Dark Knight vs Mamma Mia!</t>
        </is>
      </c>
      <c r="K5" s="28" t="inlineStr">
        <is>
          <t>Dark Knight</t>
        </is>
      </c>
      <c r="L5" s="28" t="inlineStr">
        <is>
          <t>Inception vs Pride &amp; Prejudice</t>
        </is>
      </c>
      <c r="M5" s="28" t="inlineStr">
        <is>
          <t>Pride &amp; Prejudice</t>
        </is>
      </c>
      <c r="N5" s="28" t="inlineStr">
        <is>
          <t>Stranger Things vs The Crown</t>
        </is>
      </c>
      <c r="O5" s="28" t="inlineStr">
        <is>
          <t>Stranger Things</t>
        </is>
      </c>
      <c r="P5" s="28" t="inlineStr">
        <is>
          <t>LOTR: Fellowship vs Harry Potter</t>
        </is>
      </c>
      <c r="Q5" s="28" t="inlineStr">
        <is>
          <t>LOTR: Fellowship</t>
        </is>
      </c>
      <c r="R5" s="28" t="inlineStr">
        <is>
          <t>Spirited Away vs Spider-Verse</t>
        </is>
      </c>
      <c r="S5" s="28" t="inlineStr">
        <is>
          <t>Spirited Away</t>
        </is>
      </c>
      <c r="T5" s="28" t="inlineStr">
        <is>
          <t>Killers of the Flower Moon vs 12 Angry Men</t>
        </is>
      </c>
      <c r="U5" s="28" t="inlineStr">
        <is>
          <t>Killers of the Flower Moon</t>
        </is>
      </c>
      <c r="V5" s="28" t="inlineStr">
        <is>
          <t>Peaky Blinders vs Ted Lasso</t>
        </is>
      </c>
      <c r="W5" s="28" t="inlineStr">
        <is>
          <t>Peaky Blinders</t>
        </is>
      </c>
      <c r="X5" s="28" t="inlineStr">
        <is>
          <t>Schitt's Creek vs Squid Game</t>
        </is>
      </c>
      <c r="Y5" s="28" t="inlineStr">
        <is>
          <t>Schitt's Creek</t>
        </is>
      </c>
      <c r="Z5" s="28" t="inlineStr">
        <is>
          <t>Paddington 2 vs Parasite</t>
        </is>
      </c>
      <c r="AA5" s="28" t="inlineStr">
        <is>
          <t>Paddington 2</t>
        </is>
      </c>
      <c r="AB5" s="28" t="inlineStr">
        <is>
          <t>Top Gun: Maverick vs The Lion King</t>
        </is>
      </c>
      <c r="AC5" s="28" t="inlineStr">
        <is>
          <t>Top Gun: Maverick</t>
        </is>
      </c>
    </row>
    <row r="6" ht="15" customHeight="1" s="26">
      <c r="A6" s="28" t="n">
        <v>5</v>
      </c>
      <c r="B6" s="28" t="inlineStr">
        <is>
          <t>17/02/2026</t>
        </is>
      </c>
      <c r="C6" s="28" t="inlineStr">
        <is>
          <t>Artsy/niche mix — tone capped at +1.0 (raw 1.396, 0.396 wasted signal). Intensity went negative (-0.332) for first time. Drama collapsed to 0.327 despite 3 drama-seeding clusters. Comedy exploded (+0.594 delta). Musical appeared (0.300).</t>
        </is>
      </c>
      <c r="D6" s="28" t="inlineStr">
        <is>
          <t>Cult &amp; Indie</t>
        </is>
      </c>
      <c r="E6" s="28" t="inlineStr">
        <is>
          <t>Prestige &amp; Award-Winners</t>
        </is>
      </c>
      <c r="F6" s="28" t="inlineStr">
        <is>
          <t>Heartfelt Drama</t>
        </is>
      </c>
      <c r="G6" s="28" t="inlineStr">
        <is>
          <t>Anime &amp; Animation</t>
        </is>
      </c>
      <c r="H6" s="28" t="inlineStr">
        <is>
          <t>Epic Sci-Fi &amp; Fantasy</t>
        </is>
      </c>
      <c r="I6" s="28" t="n">
        <v>5</v>
      </c>
      <c r="J6" s="28" t="inlineStr">
        <is>
          <t>The Dark Knight vs Mamma Mia!</t>
        </is>
      </c>
      <c r="K6" s="28" t="inlineStr">
        <is>
          <t>Mamma Mia!</t>
        </is>
      </c>
      <c r="L6" s="28" t="inlineStr">
        <is>
          <t>Inception vs Pride &amp; Prejudice</t>
        </is>
      </c>
      <c r="M6" s="28" t="inlineStr">
        <is>
          <t>Pride &amp; Prejudice</t>
        </is>
      </c>
      <c r="N6" s="28" t="inlineStr">
        <is>
          <t>Stranger Things vs The Crown</t>
        </is>
      </c>
      <c r="O6" s="28" t="inlineStr">
        <is>
          <t>Stranger Things</t>
        </is>
      </c>
      <c r="P6" s="28" t="inlineStr">
        <is>
          <t>Spirited Away vs Spider-Verse</t>
        </is>
      </c>
      <c r="Q6" s="28" t="inlineStr">
        <is>
          <t>Spider-Verse</t>
        </is>
      </c>
      <c r="R6" s="28" t="inlineStr">
        <is>
          <t>Shawshank Redemption vs Superbad</t>
        </is>
      </c>
      <c r="S6" s="28" t="inlineStr">
        <is>
          <t>Superbad</t>
        </is>
      </c>
      <c r="T6" s="28" t="inlineStr">
        <is>
          <t>Bridesmaids vs Jane Eyre</t>
        </is>
      </c>
      <c r="U6" s="28" t="inlineStr">
        <is>
          <t>Bridesmaids</t>
        </is>
      </c>
      <c r="V6" s="28" t="inlineStr">
        <is>
          <t>Fight Club vs Soul</t>
        </is>
      </c>
      <c r="W6" s="28" t="inlineStr">
        <is>
          <t>Soul</t>
        </is>
      </c>
      <c r="X6" s="28" t="inlineStr">
        <is>
          <t>Game of Thrones vs The Office</t>
        </is>
      </c>
      <c r="Y6" s="28" t="inlineStr">
        <is>
          <t>The Office</t>
        </is>
      </c>
      <c r="Z6" s="28" t="inlineStr">
        <is>
          <t>Top Gun: Maverick vs The Lion King</t>
        </is>
      </c>
      <c r="AA6" s="28" t="inlineStr">
        <is>
          <t>The Lion King</t>
        </is>
      </c>
      <c r="AB6" s="28" t="inlineStr">
        <is>
          <t>Breaking Bad vs Friends</t>
        </is>
      </c>
      <c r="AC6" s="28" t="inlineStr">
        <is>
          <t>Breaking Bad</t>
        </is>
      </c>
    </row>
    <row r="7" ht="15" customHeight="1" s="26">
      <c r="A7" s="29" t="n">
        <v>6</v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</row>
    <row r="8" ht="15" customHeight="1" s="26">
      <c r="A8" s="29" t="n">
        <v>7</v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</row>
    <row r="9" ht="15" customHeight="1" s="26">
      <c r="A9" s="29" t="n">
        <v>8</v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</row>
    <row r="10" ht="15" customHeight="1" s="26">
      <c r="A10" s="29" t="n">
        <v>9</v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</row>
    <row r="11" ht="15" customHeight="1" s="26">
      <c r="A11" s="29" t="n">
        <v>10</v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8" customWidth="1" style="25" min="2" max="2"/>
    <col width="13" customWidth="1" style="25" min="3" max="32"/>
  </cols>
  <sheetData>
    <row r="1" ht="26.25" customHeight="1" s="26">
      <c r="A1" s="27" t="inlineStr">
        <is>
          <t>Dimension</t>
        </is>
      </c>
      <c r="B1" s="27" t="inlineStr">
        <is>
          <t>Type</t>
        </is>
      </c>
      <c r="C1" s="27" t="inlineStr">
        <is>
          <t>S1 Stored</t>
        </is>
      </c>
      <c r="D1" s="27" t="inlineStr">
        <is>
          <t>S1 Computed</t>
        </is>
      </c>
      <c r="E1" s="27" t="inlineStr">
        <is>
          <t>S1 Match</t>
        </is>
      </c>
      <c r="F1" s="27" t="inlineStr">
        <is>
          <t>S2 Stored</t>
        </is>
      </c>
      <c r="G1" s="27" t="inlineStr">
        <is>
          <t>S2 Computed</t>
        </is>
      </c>
      <c r="H1" s="27" t="inlineStr">
        <is>
          <t>S2 Match</t>
        </is>
      </c>
      <c r="I1" s="27" t="inlineStr">
        <is>
          <t>S3 Stored</t>
        </is>
      </c>
      <c r="J1" s="27" t="inlineStr">
        <is>
          <t>S3 Computed</t>
        </is>
      </c>
      <c r="K1" s="27" t="inlineStr">
        <is>
          <t>S3 Match</t>
        </is>
      </c>
      <c r="L1" s="27" t="inlineStr">
        <is>
          <t>S4 Stored</t>
        </is>
      </c>
      <c r="M1" s="27" t="inlineStr">
        <is>
          <t>S4 Computed</t>
        </is>
      </c>
      <c r="N1" s="27" t="inlineStr">
        <is>
          <t>S4 Match</t>
        </is>
      </c>
      <c r="O1" s="27" t="inlineStr">
        <is>
          <t>S5 Stored</t>
        </is>
      </c>
      <c r="P1" s="27" t="inlineStr">
        <is>
          <t>S5 Computed</t>
        </is>
      </c>
      <c r="Q1" s="27" t="inlineStr">
        <is>
          <t>S5 Match</t>
        </is>
      </c>
      <c r="R1" s="27" t="inlineStr">
        <is>
          <t>S6 Stored</t>
        </is>
      </c>
      <c r="S1" s="27" t="inlineStr">
        <is>
          <t>S6 Computed</t>
        </is>
      </c>
      <c r="T1" s="27" t="inlineStr">
        <is>
          <t>S6 Match</t>
        </is>
      </c>
      <c r="U1" s="27" t="inlineStr">
        <is>
          <t>S7 Stored</t>
        </is>
      </c>
      <c r="V1" s="27" t="inlineStr">
        <is>
          <t>S7 Computed</t>
        </is>
      </c>
      <c r="W1" s="27" t="inlineStr">
        <is>
          <t>S7 Match</t>
        </is>
      </c>
      <c r="X1" s="27" t="inlineStr">
        <is>
          <t>S8 Stored</t>
        </is>
      </c>
      <c r="Y1" s="27" t="inlineStr">
        <is>
          <t>S8 Computed</t>
        </is>
      </c>
      <c r="Z1" s="27" t="inlineStr">
        <is>
          <t>S8 Match</t>
        </is>
      </c>
      <c r="AA1" s="27" t="inlineStr">
        <is>
          <t>S9 Stored</t>
        </is>
      </c>
      <c r="AB1" s="27" t="inlineStr">
        <is>
          <t>S9 Computed</t>
        </is>
      </c>
      <c r="AC1" s="27" t="inlineStr">
        <is>
          <t>S9 Match</t>
        </is>
      </c>
      <c r="AD1" s="27" t="inlineStr">
        <is>
          <t>S10 Stored</t>
        </is>
      </c>
      <c r="AE1" s="27" t="inlineStr">
        <is>
          <t>S10 Computed</t>
        </is>
      </c>
      <c r="AF1" s="27" t="inlineStr">
        <is>
          <t>S10 Match</t>
        </is>
      </c>
    </row>
    <row r="2" ht="15" customHeight="1" s="26">
      <c r="A2" s="31" t="inlineStr">
        <is>
          <t>action</t>
        </is>
      </c>
      <c r="B2" s="32" t="inlineStr">
        <is>
          <t>Genre</t>
        </is>
      </c>
      <c r="C2" s="33" t="n">
        <v>0.174</v>
      </c>
      <c r="D2" s="33" t="n">
        <v>0.174</v>
      </c>
      <c r="E2" s="32">
        <f>IF(ABS(C2-D2)&lt;0.001,"OK","MISMATCH")</f>
        <v/>
      </c>
      <c r="F2" s="33" t="n">
        <v>0.3</v>
      </c>
      <c r="G2" s="33" t="n">
        <v>0.3</v>
      </c>
      <c r="H2" s="32">
        <f>IF(ABS(F2-G2)&lt;0.001,"OK","MISMATCH")</f>
        <v/>
      </c>
      <c r="I2" s="33" t="n">
        <v>1</v>
      </c>
      <c r="J2" s="33" t="n">
        <v>1</v>
      </c>
      <c r="K2" s="32">
        <f>IF(ABS(I2-J2)&lt;0.001,"OK","MISMATCH")</f>
        <v/>
      </c>
      <c r="L2" s="33" t="n">
        <v>1</v>
      </c>
      <c r="M2" s="33" t="n">
        <v>1</v>
      </c>
      <c r="N2" s="32">
        <f>IF(ABS(L2-M2)&lt;0.001,"OK","MISMATCH")</f>
        <v/>
      </c>
      <c r="O2" s="33" t="n">
        <v>0.294</v>
      </c>
      <c r="P2" s="33" t="n">
        <v>0.294</v>
      </c>
      <c r="Q2" s="32">
        <f>IF(ABS(O2-P2)&lt;0.001,"OK","MISMATCH")</f>
        <v/>
      </c>
      <c r="R2" s="34" t="n"/>
      <c r="S2" s="34" t="n"/>
      <c r="T2" s="35" t="n"/>
      <c r="U2" s="34" t="n"/>
      <c r="V2" s="34" t="n"/>
      <c r="W2" s="35" t="n"/>
      <c r="X2" s="34" t="n"/>
      <c r="Y2" s="34" t="n"/>
      <c r="Z2" s="35" t="n"/>
      <c r="AA2" s="34" t="n"/>
      <c r="AB2" s="34" t="n"/>
      <c r="AC2" s="35" t="n"/>
      <c r="AD2" s="34" t="n"/>
      <c r="AE2" s="34" t="n"/>
      <c r="AF2" s="35" t="n"/>
    </row>
    <row r="3" ht="15" customHeight="1" s="26">
      <c r="A3" s="31" t="inlineStr">
        <is>
          <t>adventure</t>
        </is>
      </c>
      <c r="B3" s="32" t="inlineStr">
        <is>
          <t>Genre</t>
        </is>
      </c>
      <c r="C3" s="33" t="n">
        <v>0.5</v>
      </c>
      <c r="D3" s="33" t="n">
        <v>0.5</v>
      </c>
      <c r="E3" s="32">
        <f>IF(ABS(C3-D3)&lt;0.001,"OK","MISMATCH")</f>
        <v/>
      </c>
      <c r="F3" s="33" t="n">
        <v>0</v>
      </c>
      <c r="G3" s="33" t="n">
        <v>0</v>
      </c>
      <c r="H3" s="32">
        <f>IF(ABS(F3-G3)&lt;0.001,"OK","MISMATCH")</f>
        <v/>
      </c>
      <c r="I3" s="33" t="n">
        <v>0.5</v>
      </c>
      <c r="J3" s="33" t="n">
        <v>0.5</v>
      </c>
      <c r="K3" s="32">
        <f>IF(ABS(I3-J3)&lt;0.001,"OK","MISMATCH")</f>
        <v/>
      </c>
      <c r="L3" s="33" t="n">
        <v>0.5</v>
      </c>
      <c r="M3" s="33" t="n">
        <v>0.5</v>
      </c>
      <c r="N3" s="32">
        <f>IF(ABS(L3-M3)&lt;0.001,"OK","MISMATCH")</f>
        <v/>
      </c>
      <c r="O3" s="33" t="n">
        <v>0.5</v>
      </c>
      <c r="P3" s="33" t="n">
        <v>0.5</v>
      </c>
      <c r="Q3" s="32">
        <f>IF(ABS(O3-P3)&lt;0.001,"OK","MISMATCH")</f>
        <v/>
      </c>
      <c r="R3" s="34" t="n"/>
      <c r="S3" s="34" t="n"/>
      <c r="T3" s="35" t="n"/>
      <c r="U3" s="34" t="n"/>
      <c r="V3" s="34" t="n"/>
      <c r="W3" s="35" t="n"/>
      <c r="X3" s="34" t="n"/>
      <c r="Y3" s="34" t="n"/>
      <c r="Z3" s="35" t="n"/>
      <c r="AA3" s="34" t="n"/>
      <c r="AB3" s="34" t="n"/>
      <c r="AC3" s="35" t="n"/>
      <c r="AD3" s="34" t="n"/>
      <c r="AE3" s="34" t="n"/>
      <c r="AF3" s="35" t="n"/>
    </row>
    <row r="4" ht="15" customHeight="1" s="26">
      <c r="A4" s="31" t="inlineStr">
        <is>
          <t>animation</t>
        </is>
      </c>
      <c r="B4" s="32" t="inlineStr">
        <is>
          <t>Genre</t>
        </is>
      </c>
      <c r="C4" s="33" t="n">
        <v>0</v>
      </c>
      <c r="D4" s="33" t="n">
        <v>0</v>
      </c>
      <c r="E4" s="32">
        <f>IF(ABS(C4-D4)&lt;0.001,"OK","MISMATCH")</f>
        <v/>
      </c>
      <c r="F4" s="33" t="n">
        <v>0</v>
      </c>
      <c r="G4" s="33" t="n">
        <v>0</v>
      </c>
      <c r="H4" s="32">
        <f>IF(ABS(F4-G4)&lt;0.001,"OK","MISMATCH")</f>
        <v/>
      </c>
      <c r="I4" s="33" t="n">
        <v>0</v>
      </c>
      <c r="J4" s="33" t="n">
        <v>0</v>
      </c>
      <c r="K4" s="32">
        <f>IF(ABS(I4-J4)&lt;0.001,"OK","MISMATCH")</f>
        <v/>
      </c>
      <c r="L4" s="33" t="n">
        <v>0</v>
      </c>
      <c r="M4" s="33" t="n">
        <v>0</v>
      </c>
      <c r="N4" s="32">
        <f>IF(ABS(L4-M4)&lt;0.001,"OK","MISMATCH")</f>
        <v/>
      </c>
      <c r="O4" s="33" t="n">
        <v>0.9</v>
      </c>
      <c r="P4" s="33" t="n">
        <v>0.9</v>
      </c>
      <c r="Q4" s="32">
        <f>IF(ABS(O4-P4)&lt;0.001,"OK","MISMATCH")</f>
        <v/>
      </c>
      <c r="R4" s="34" t="n"/>
      <c r="S4" s="34" t="n"/>
      <c r="T4" s="35" t="n"/>
      <c r="U4" s="34" t="n"/>
      <c r="V4" s="34" t="n"/>
      <c r="W4" s="35" t="n"/>
      <c r="X4" s="34" t="n"/>
      <c r="Y4" s="34" t="n"/>
      <c r="Z4" s="35" t="n"/>
      <c r="AA4" s="34" t="n"/>
      <c r="AB4" s="34" t="n"/>
      <c r="AC4" s="35" t="n"/>
      <c r="AD4" s="34" t="n"/>
      <c r="AE4" s="34" t="n"/>
      <c r="AF4" s="35" t="n"/>
    </row>
    <row r="5" ht="15" customHeight="1" s="26">
      <c r="A5" s="31" t="inlineStr">
        <is>
          <t>anime</t>
        </is>
      </c>
      <c r="B5" s="32" t="inlineStr">
        <is>
          <t>Genre</t>
        </is>
      </c>
      <c r="C5" s="33" t="n">
        <v>0</v>
      </c>
      <c r="D5" s="33" t="n">
        <v>0</v>
      </c>
      <c r="E5" s="32">
        <f>IF(ABS(C5-D5)&lt;0.001,"OK","MISMATCH")</f>
        <v/>
      </c>
      <c r="F5" s="33" t="n">
        <v>0</v>
      </c>
      <c r="G5" s="33" t="n">
        <v>0</v>
      </c>
      <c r="H5" s="32">
        <f>IF(ABS(F5-G5)&lt;0.001,"OK","MISMATCH")</f>
        <v/>
      </c>
      <c r="I5" s="33" t="n">
        <v>0</v>
      </c>
      <c r="J5" s="33" t="n">
        <v>0</v>
      </c>
      <c r="K5" s="32">
        <f>IF(ABS(I5-J5)&lt;0.001,"OK","MISMATCH")</f>
        <v/>
      </c>
      <c r="L5" s="33" t="n">
        <v>0</v>
      </c>
      <c r="M5" s="33" t="n">
        <v>0</v>
      </c>
      <c r="N5" s="32">
        <f>IF(ABS(L5-M5)&lt;0.001,"OK","MISMATCH")</f>
        <v/>
      </c>
      <c r="O5" s="33" t="n">
        <v>0</v>
      </c>
      <c r="P5" s="33" t="n">
        <v>0</v>
      </c>
      <c r="Q5" s="32">
        <f>IF(ABS(O5-P5)&lt;0.001,"OK","MISMATCH")</f>
        <v/>
      </c>
      <c r="R5" s="34" t="n"/>
      <c r="S5" s="34" t="n"/>
      <c r="T5" s="35" t="n"/>
      <c r="U5" s="34" t="n"/>
      <c r="V5" s="34" t="n"/>
      <c r="W5" s="35" t="n"/>
      <c r="X5" s="34" t="n"/>
      <c r="Y5" s="34" t="n"/>
      <c r="Z5" s="35" t="n"/>
      <c r="AA5" s="34" t="n"/>
      <c r="AB5" s="34" t="n"/>
      <c r="AC5" s="35" t="n"/>
      <c r="AD5" s="34" t="n"/>
      <c r="AE5" s="34" t="n"/>
      <c r="AF5" s="35" t="n"/>
    </row>
    <row r="6" ht="15" customHeight="1" s="26">
      <c r="A6" s="31" t="inlineStr">
        <is>
          <t>comedy</t>
        </is>
      </c>
      <c r="B6" s="32" t="inlineStr">
        <is>
          <t>Genre</t>
        </is>
      </c>
      <c r="C6" s="33" t="n">
        <v>1</v>
      </c>
      <c r="D6" s="33" t="n">
        <v>1</v>
      </c>
      <c r="E6" s="32">
        <f>IF(ABS(C6-D6)&lt;0.001,"OK","MISMATCH")</f>
        <v/>
      </c>
      <c r="F6" s="33" t="n">
        <v>0.664</v>
      </c>
      <c r="G6" s="33" t="n">
        <v>0.664</v>
      </c>
      <c r="H6" s="32">
        <f>IF(ABS(F6-G6)&lt;0.001,"OK","MISMATCH")</f>
        <v/>
      </c>
      <c r="I6" s="33" t="n">
        <v>0.314</v>
      </c>
      <c r="J6" s="33" t="n">
        <v>0.314</v>
      </c>
      <c r="K6" s="32">
        <f>IF(ABS(I6-J6)&lt;0.001,"OK","MISMATCH")</f>
        <v/>
      </c>
      <c r="L6" s="33" t="n">
        <v>0.624</v>
      </c>
      <c r="M6" s="33" t="n">
        <v>0.624</v>
      </c>
      <c r="N6" s="32">
        <f>IF(ABS(L6-M6)&lt;0.001,"OK","MISMATCH")</f>
        <v/>
      </c>
      <c r="O6" s="33" t="n">
        <v>0.794</v>
      </c>
      <c r="P6" s="33" t="n">
        <v>0.794</v>
      </c>
      <c r="Q6" s="32">
        <f>IF(ABS(O6-P6)&lt;0.001,"OK","MISMATCH")</f>
        <v/>
      </c>
      <c r="R6" s="34" t="n"/>
      <c r="S6" s="34" t="n"/>
      <c r="T6" s="35" t="n"/>
      <c r="U6" s="34" t="n"/>
      <c r="V6" s="34" t="n"/>
      <c r="W6" s="35" t="n"/>
      <c r="X6" s="34" t="n"/>
      <c r="Y6" s="34" t="n"/>
      <c r="Z6" s="35" t="n"/>
      <c r="AA6" s="34" t="n"/>
      <c r="AB6" s="34" t="n"/>
      <c r="AC6" s="35" t="n"/>
      <c r="AD6" s="34" t="n"/>
      <c r="AE6" s="34" t="n"/>
      <c r="AF6" s="35" t="n"/>
    </row>
    <row r="7" ht="15" customHeight="1" s="26">
      <c r="A7" s="31" t="inlineStr">
        <is>
          <t>crime</t>
        </is>
      </c>
      <c r="B7" s="32" t="inlineStr">
        <is>
          <t>Genre</t>
        </is>
      </c>
      <c r="C7" s="33" t="n">
        <v>0.8100000000000001</v>
      </c>
      <c r="D7" s="33" t="n">
        <v>0.8100000000000001</v>
      </c>
      <c r="E7" s="32">
        <f>IF(ABS(C7-D7)&lt;0.001,"OK","MISMATCH")</f>
        <v/>
      </c>
      <c r="F7" s="33" t="n">
        <v>0.248</v>
      </c>
      <c r="G7" s="33" t="n">
        <v>0.248</v>
      </c>
      <c r="H7" s="32">
        <f>IF(ABS(F7-G7)&lt;0.001,"OK","MISMATCH")</f>
        <v/>
      </c>
      <c r="I7" s="33" t="n">
        <v>0.584</v>
      </c>
      <c r="J7" s="33" t="n">
        <v>0.584</v>
      </c>
      <c r="K7" s="32">
        <f>IF(ABS(I7-J7)&lt;0.001,"OK","MISMATCH")</f>
        <v/>
      </c>
      <c r="L7" s="33" t="n">
        <v>0.8100000000000001</v>
      </c>
      <c r="M7" s="33" t="n">
        <v>0.8100000000000001</v>
      </c>
      <c r="N7" s="32">
        <f>IF(ABS(L7-M7)&lt;0.001,"OK","MISMATCH")</f>
        <v/>
      </c>
      <c r="O7" s="33" t="n">
        <v>0.21</v>
      </c>
      <c r="P7" s="33" t="n">
        <v>0.21</v>
      </c>
      <c r="Q7" s="32">
        <f>IF(ABS(O7-P7)&lt;0.001,"OK","MISMATCH")</f>
        <v/>
      </c>
      <c r="R7" s="34" t="n"/>
      <c r="S7" s="34" t="n"/>
      <c r="T7" s="35" t="n"/>
      <c r="U7" s="34" t="n"/>
      <c r="V7" s="34" t="n"/>
      <c r="W7" s="35" t="n"/>
      <c r="X7" s="34" t="n"/>
      <c r="Y7" s="34" t="n"/>
      <c r="Z7" s="35" t="n"/>
      <c r="AA7" s="34" t="n"/>
      <c r="AB7" s="34" t="n"/>
      <c r="AC7" s="35" t="n"/>
      <c r="AD7" s="34" t="n"/>
      <c r="AE7" s="34" t="n"/>
      <c r="AF7" s="35" t="n"/>
    </row>
    <row r="8" ht="15" customHeight="1" s="26">
      <c r="A8" s="31" t="inlineStr">
        <is>
          <t>documentary</t>
        </is>
      </c>
      <c r="B8" s="32" t="inlineStr">
        <is>
          <t>Genre</t>
        </is>
      </c>
      <c r="C8" s="33" t="n">
        <v>0</v>
      </c>
      <c r="D8" s="33" t="n">
        <v>0</v>
      </c>
      <c r="E8" s="32">
        <f>IF(ABS(C8-D8)&lt;0.001,"OK","MISMATCH")</f>
        <v/>
      </c>
      <c r="F8" s="33" t="n">
        <v>0.55</v>
      </c>
      <c r="G8" s="33" t="n">
        <v>0.55</v>
      </c>
      <c r="H8" s="32">
        <f>IF(ABS(F8-G8)&lt;0.001,"OK","MISMATCH")</f>
        <v/>
      </c>
      <c r="I8" s="33" t="n">
        <v>0.9</v>
      </c>
      <c r="J8" s="33" t="n">
        <v>0.9</v>
      </c>
      <c r="K8" s="32">
        <f>IF(ABS(I8-J8)&lt;0.001,"OK","MISMATCH")</f>
        <v/>
      </c>
      <c r="L8" s="33" t="n">
        <v>0</v>
      </c>
      <c r="M8" s="33" t="n">
        <v>0</v>
      </c>
      <c r="N8" s="32">
        <f>IF(ABS(L8-M8)&lt;0.001,"OK","MISMATCH")</f>
        <v/>
      </c>
      <c r="O8" s="33" t="n">
        <v>0.2</v>
      </c>
      <c r="P8" s="33" t="n">
        <v>0.2</v>
      </c>
      <c r="Q8" s="32">
        <f>IF(ABS(O8-P8)&lt;0.001,"OK","MISMATCH")</f>
        <v/>
      </c>
      <c r="R8" s="34" t="n"/>
      <c r="S8" s="34" t="n"/>
      <c r="T8" s="35" t="n"/>
      <c r="U8" s="34" t="n"/>
      <c r="V8" s="34" t="n"/>
      <c r="W8" s="35" t="n"/>
      <c r="X8" s="34" t="n"/>
      <c r="Y8" s="34" t="n"/>
      <c r="Z8" s="35" t="n"/>
      <c r="AA8" s="34" t="n"/>
      <c r="AB8" s="34" t="n"/>
      <c r="AC8" s="35" t="n"/>
      <c r="AD8" s="34" t="n"/>
      <c r="AE8" s="34" t="n"/>
      <c r="AF8" s="35" t="n"/>
    </row>
    <row r="9" ht="15" customHeight="1" s="26">
      <c r="A9" s="31" t="inlineStr">
        <is>
          <t>drama</t>
        </is>
      </c>
      <c r="B9" s="32" t="inlineStr">
        <is>
          <t>Genre</t>
        </is>
      </c>
      <c r="C9" s="33" t="n">
        <v>0.065</v>
      </c>
      <c r="D9" s="33" t="n">
        <v>0.065</v>
      </c>
      <c r="E9" s="32">
        <f>IF(ABS(C9-D9)&lt;0.001,"OK","MISMATCH")</f>
        <v/>
      </c>
      <c r="F9" s="33" t="n">
        <v>0.784</v>
      </c>
      <c r="G9" s="33" t="n">
        <v>0.784</v>
      </c>
      <c r="H9" s="32">
        <f>IF(ABS(F9-G9)&lt;0.001,"OK","MISMATCH")</f>
        <v/>
      </c>
      <c r="I9" s="33" t="n">
        <v>1</v>
      </c>
      <c r="J9" s="33" t="n">
        <v>1</v>
      </c>
      <c r="K9" s="32">
        <f>IF(ABS(I9-J9)&lt;0.001,"OK","MISMATCH")</f>
        <v/>
      </c>
      <c r="L9" s="33" t="n">
        <v>0.124</v>
      </c>
      <c r="M9" s="33" t="n">
        <v>0.124</v>
      </c>
      <c r="N9" s="32">
        <f>IF(ABS(L9-M9)&lt;0.001,"OK","MISMATCH")</f>
        <v/>
      </c>
      <c r="O9" s="33" t="n">
        <v>0.327</v>
      </c>
      <c r="P9" s="33" t="n">
        <v>0.327</v>
      </c>
      <c r="Q9" s="32">
        <f>IF(ABS(O9-P9)&lt;0.001,"OK","MISMATCH")</f>
        <v/>
      </c>
      <c r="R9" s="34" t="n"/>
      <c r="S9" s="34" t="n"/>
      <c r="T9" s="35" t="n"/>
      <c r="U9" s="34" t="n"/>
      <c r="V9" s="34" t="n"/>
      <c r="W9" s="35" t="n"/>
      <c r="X9" s="34" t="n"/>
      <c r="Y9" s="34" t="n"/>
      <c r="Z9" s="35" t="n"/>
      <c r="AA9" s="34" t="n"/>
      <c r="AB9" s="34" t="n"/>
      <c r="AC9" s="35" t="n"/>
      <c r="AD9" s="34" t="n"/>
      <c r="AE9" s="34" t="n"/>
      <c r="AF9" s="35" t="n"/>
    </row>
    <row r="10" ht="15" customHeight="1" s="26">
      <c r="A10" s="31" t="inlineStr">
        <is>
          <t>family</t>
        </is>
      </c>
      <c r="B10" s="32" t="inlineStr">
        <is>
          <t>Genre</t>
        </is>
      </c>
      <c r="C10" s="33" t="n">
        <v>0</v>
      </c>
      <c r="D10" s="33" t="n">
        <v>0</v>
      </c>
      <c r="E10" s="32">
        <f>IF(ABS(C10-D10)&lt;0.001,"OK","MISMATCH")</f>
        <v/>
      </c>
      <c r="F10" s="33" t="n">
        <v>0</v>
      </c>
      <c r="G10" s="33" t="n">
        <v>0</v>
      </c>
      <c r="H10" s="32">
        <f>IF(ABS(F10-G10)&lt;0.001,"OK","MISMATCH")</f>
        <v/>
      </c>
      <c r="I10" s="33" t="n">
        <v>0</v>
      </c>
      <c r="J10" s="33" t="n">
        <v>0</v>
      </c>
      <c r="K10" s="32">
        <f>IF(ABS(I10-J10)&lt;0.001,"OK","MISMATCH")</f>
        <v/>
      </c>
      <c r="L10" s="33" t="n">
        <v>0.21</v>
      </c>
      <c r="M10" s="33" t="n">
        <v>0.21</v>
      </c>
      <c r="N10" s="32">
        <f>IF(ABS(L10-M10)&lt;0.001,"OK","MISMATCH")</f>
        <v/>
      </c>
      <c r="O10" s="33" t="n">
        <v>0</v>
      </c>
      <c r="P10" s="33" t="n">
        <v>0</v>
      </c>
      <c r="Q10" s="32">
        <f>IF(ABS(O10-P10)&lt;0.001,"OK","MISMATCH")</f>
        <v/>
      </c>
      <c r="R10" s="34" t="n"/>
      <c r="S10" s="34" t="n"/>
      <c r="T10" s="35" t="n"/>
      <c r="U10" s="34" t="n"/>
      <c r="V10" s="34" t="n"/>
      <c r="W10" s="35" t="n"/>
      <c r="X10" s="34" t="n"/>
      <c r="Y10" s="34" t="n"/>
      <c r="Z10" s="35" t="n"/>
      <c r="AA10" s="34" t="n"/>
      <c r="AB10" s="34" t="n"/>
      <c r="AC10" s="35" t="n"/>
      <c r="AD10" s="34" t="n"/>
      <c r="AE10" s="34" t="n"/>
      <c r="AF10" s="35" t="n"/>
    </row>
    <row r="11" ht="15" customHeight="1" s="26">
      <c r="A11" s="31" t="inlineStr">
        <is>
          <t>fantasy</t>
        </is>
      </c>
      <c r="B11" s="32" t="inlineStr">
        <is>
          <t>Genre</t>
        </is>
      </c>
      <c r="C11" s="33" t="n">
        <v>0.8</v>
      </c>
      <c r="D11" s="33" t="n">
        <v>0.8</v>
      </c>
      <c r="E11" s="32">
        <f>IF(ABS(C11-D11)&lt;0.001,"OK","MISMATCH")</f>
        <v/>
      </c>
      <c r="F11" s="33" t="n">
        <v>0</v>
      </c>
      <c r="G11" s="33" t="n">
        <v>0</v>
      </c>
      <c r="H11" s="32">
        <f>IF(ABS(F11-G11)&lt;0.001,"OK","MISMATCH")</f>
        <v/>
      </c>
      <c r="I11" s="33" t="n">
        <v>0.8</v>
      </c>
      <c r="J11" s="33" t="n">
        <v>0.8</v>
      </c>
      <c r="K11" s="32">
        <f>IF(ABS(I11-J11)&lt;0.001,"OK","MISMATCH")</f>
        <v/>
      </c>
      <c r="L11" s="33" t="n">
        <v>0.8</v>
      </c>
      <c r="M11" s="33" t="n">
        <v>0.8</v>
      </c>
      <c r="N11" s="32">
        <f>IF(ABS(L11-M11)&lt;0.001,"OK","MISMATCH")</f>
        <v/>
      </c>
      <c r="O11" s="33" t="n">
        <v>0.424</v>
      </c>
      <c r="P11" s="33" t="n">
        <v>0.424</v>
      </c>
      <c r="Q11" s="32">
        <f>IF(ABS(O11-P11)&lt;0.001,"OK","MISMATCH")</f>
        <v/>
      </c>
      <c r="R11" s="34" t="n"/>
      <c r="S11" s="34" t="n"/>
      <c r="T11" s="35" t="n"/>
      <c r="U11" s="34" t="n"/>
      <c r="V11" s="34" t="n"/>
      <c r="W11" s="35" t="n"/>
      <c r="X11" s="34" t="n"/>
      <c r="Y11" s="34" t="n"/>
      <c r="Z11" s="35" t="n"/>
      <c r="AA11" s="34" t="n"/>
      <c r="AB11" s="34" t="n"/>
      <c r="AC11" s="35" t="n"/>
      <c r="AD11" s="34" t="n"/>
      <c r="AE11" s="34" t="n"/>
      <c r="AF11" s="35" t="n"/>
    </row>
    <row r="12" ht="15" customHeight="1" s="26">
      <c r="A12" s="31" t="inlineStr">
        <is>
          <t>history</t>
        </is>
      </c>
      <c r="B12" s="32" t="inlineStr">
        <is>
          <t>Genre</t>
        </is>
      </c>
      <c r="C12" s="33" t="n">
        <v>0.72</v>
      </c>
      <c r="D12" s="33" t="n">
        <v>0.72</v>
      </c>
      <c r="E12" s="32">
        <f>IF(ABS(C12-D12)&lt;0.001,"OK","MISMATCH")</f>
        <v/>
      </c>
      <c r="F12" s="33" t="n">
        <v>0.55</v>
      </c>
      <c r="G12" s="33" t="n">
        <v>0.55</v>
      </c>
      <c r="H12" s="32">
        <f>IF(ABS(F12-G12)&lt;0.001,"OK","MISMATCH")</f>
        <v/>
      </c>
      <c r="I12" s="33" t="n">
        <v>0.6</v>
      </c>
      <c r="J12" s="33" t="n">
        <v>0.6</v>
      </c>
      <c r="K12" s="32">
        <f>IF(ABS(I12-J12)&lt;0.001,"OK","MISMATCH")</f>
        <v/>
      </c>
      <c r="L12" s="33" t="n">
        <v>0</v>
      </c>
      <c r="M12" s="33" t="n">
        <v>0</v>
      </c>
      <c r="N12" s="32">
        <f>IF(ABS(L12-M12)&lt;0.001,"OK","MISMATCH")</f>
        <v/>
      </c>
      <c r="O12" s="33" t="n">
        <v>0.02</v>
      </c>
      <c r="P12" s="33" t="n">
        <v>0.02</v>
      </c>
      <c r="Q12" s="32">
        <f>IF(ABS(O12-P12)&lt;0.001,"OK","MISMATCH")</f>
        <v/>
      </c>
      <c r="R12" s="34" t="n"/>
      <c r="S12" s="34" t="n"/>
      <c r="T12" s="35" t="n"/>
      <c r="U12" s="34" t="n"/>
      <c r="V12" s="34" t="n"/>
      <c r="W12" s="35" t="n"/>
      <c r="X12" s="34" t="n"/>
      <c r="Y12" s="34" t="n"/>
      <c r="Z12" s="35" t="n"/>
      <c r="AA12" s="34" t="n"/>
      <c r="AB12" s="34" t="n"/>
      <c r="AC12" s="35" t="n"/>
      <c r="AD12" s="34" t="n"/>
      <c r="AE12" s="34" t="n"/>
      <c r="AF12" s="35" t="n"/>
    </row>
    <row r="13" ht="15" customHeight="1" s="26">
      <c r="A13" s="31" t="inlineStr">
        <is>
          <t>horror</t>
        </is>
      </c>
      <c r="B13" s="32" t="inlineStr">
        <is>
          <t>Genre</t>
        </is>
      </c>
      <c r="C13" s="33" t="n">
        <v>0.3</v>
      </c>
      <c r="D13" s="33" t="n">
        <v>0.3</v>
      </c>
      <c r="E13" s="32">
        <f>IF(ABS(C13-D13)&lt;0.001,"OK","MISMATCH")</f>
        <v/>
      </c>
      <c r="F13" s="33" t="n">
        <v>0.72</v>
      </c>
      <c r="G13" s="33" t="n">
        <v>0.72</v>
      </c>
      <c r="H13" s="32">
        <f>IF(ABS(F13-G13)&lt;0.001,"OK","MISMATCH")</f>
        <v/>
      </c>
      <c r="I13" s="33" t="n">
        <v>0</v>
      </c>
      <c r="J13" s="33" t="n">
        <v>0</v>
      </c>
      <c r="K13" s="32">
        <f>IF(ABS(I13-J13)&lt;0.001,"OK","MISMATCH")</f>
        <v/>
      </c>
      <c r="L13" s="33" t="n">
        <v>0.3</v>
      </c>
      <c r="M13" s="33" t="n">
        <v>0.3</v>
      </c>
      <c r="N13" s="32">
        <f>IF(ABS(L13-M13)&lt;0.001,"OK","MISMATCH")</f>
        <v/>
      </c>
      <c r="O13" s="33" t="n">
        <v>0.3</v>
      </c>
      <c r="P13" s="33" t="n">
        <v>0.3</v>
      </c>
      <c r="Q13" s="32">
        <f>IF(ABS(O13-P13)&lt;0.001,"OK","MISMATCH")</f>
        <v/>
      </c>
      <c r="R13" s="34" t="n"/>
      <c r="S13" s="34" t="n"/>
      <c r="T13" s="35" t="n"/>
      <c r="U13" s="34" t="n"/>
      <c r="V13" s="34" t="n"/>
      <c r="W13" s="35" t="n"/>
      <c r="X13" s="34" t="n"/>
      <c r="Y13" s="34" t="n"/>
      <c r="Z13" s="35" t="n"/>
      <c r="AA13" s="34" t="n"/>
      <c r="AB13" s="34" t="n"/>
      <c r="AC13" s="35" t="n"/>
      <c r="AD13" s="34" t="n"/>
      <c r="AE13" s="34" t="n"/>
      <c r="AF13" s="35" t="n"/>
    </row>
    <row r="14" ht="15" customHeight="1" s="26">
      <c r="A14" s="31" t="inlineStr">
        <is>
          <t>musical</t>
        </is>
      </c>
      <c r="B14" s="32" t="inlineStr">
        <is>
          <t>Genre</t>
        </is>
      </c>
      <c r="C14" s="33" t="n">
        <v>0</v>
      </c>
      <c r="D14" s="33" t="n">
        <v>0</v>
      </c>
      <c r="E14" s="32">
        <f>IF(ABS(C14-D14)&lt;0.001,"OK","MISMATCH")</f>
        <v/>
      </c>
      <c r="F14" s="33" t="n">
        <v>0</v>
      </c>
      <c r="G14" s="33" t="n">
        <v>0</v>
      </c>
      <c r="H14" s="32">
        <f>IF(ABS(F14-G14)&lt;0.001,"OK","MISMATCH")</f>
        <v/>
      </c>
      <c r="I14" s="33" t="n">
        <v>0</v>
      </c>
      <c r="J14" s="33" t="n">
        <v>0</v>
      </c>
      <c r="K14" s="32">
        <f>IF(ABS(I14-J14)&lt;0.001,"OK","MISMATCH")</f>
        <v/>
      </c>
      <c r="L14" s="33" t="n">
        <v>0</v>
      </c>
      <c r="M14" s="33" t="n">
        <v>0</v>
      </c>
      <c r="N14" s="32">
        <f>IF(ABS(L14-M14)&lt;0.001,"OK","MISMATCH")</f>
        <v/>
      </c>
      <c r="O14" s="33" t="n">
        <v>0.3</v>
      </c>
      <c r="P14" s="33" t="n">
        <v>0.3</v>
      </c>
      <c r="Q14" s="32">
        <f>IF(ABS(O14-P14)&lt;0.001,"OK","MISMATCH")</f>
        <v/>
      </c>
      <c r="R14" s="34" t="n"/>
      <c r="S14" s="34" t="n"/>
      <c r="T14" s="35" t="n"/>
      <c r="U14" s="34" t="n"/>
      <c r="V14" s="34" t="n"/>
      <c r="W14" s="35" t="n"/>
      <c r="X14" s="34" t="n"/>
      <c r="Y14" s="34" t="n"/>
      <c r="Z14" s="35" t="n"/>
      <c r="AA14" s="34" t="n"/>
      <c r="AB14" s="34" t="n"/>
      <c r="AC14" s="35" t="n"/>
      <c r="AD14" s="34" t="n"/>
      <c r="AE14" s="34" t="n"/>
      <c r="AF14" s="35" t="n"/>
    </row>
    <row r="15" ht="15" customHeight="1" s="26">
      <c r="A15" s="31" t="inlineStr">
        <is>
          <t>mystery</t>
        </is>
      </c>
      <c r="B15" s="32" t="inlineStr">
        <is>
          <t>Genre</t>
        </is>
      </c>
      <c r="C15" s="33" t="n">
        <v>0.8100000000000001</v>
      </c>
      <c r="D15" s="33" t="n">
        <v>0.8100000000000001</v>
      </c>
      <c r="E15" s="32">
        <f>IF(ABS(C15-D15)&lt;0.001,"OK","MISMATCH")</f>
        <v/>
      </c>
      <c r="F15" s="33" t="n">
        <v>0.2</v>
      </c>
      <c r="G15" s="33" t="n">
        <v>0.2</v>
      </c>
      <c r="H15" s="32">
        <f>IF(ABS(F15-G15)&lt;0.001,"OK","MISMATCH")</f>
        <v/>
      </c>
      <c r="I15" s="33" t="n">
        <v>0</v>
      </c>
      <c r="J15" s="33" t="n">
        <v>0</v>
      </c>
      <c r="K15" s="32">
        <f>IF(ABS(I15-J15)&lt;0.001,"OK","MISMATCH")</f>
        <v/>
      </c>
      <c r="L15" s="33" t="n">
        <v>0.3</v>
      </c>
      <c r="M15" s="33" t="n">
        <v>0.3</v>
      </c>
      <c r="N15" s="32">
        <f>IF(ABS(L15-M15)&lt;0.001,"OK","MISMATCH")</f>
        <v/>
      </c>
      <c r="O15" s="33" t="n">
        <v>0</v>
      </c>
      <c r="P15" s="33" t="n">
        <v>0</v>
      </c>
      <c r="Q15" s="32">
        <f>IF(ABS(O15-P15)&lt;0.001,"OK","MISMATCH")</f>
        <v/>
      </c>
      <c r="R15" s="34" t="n"/>
      <c r="S15" s="34" t="n"/>
      <c r="T15" s="35" t="n"/>
      <c r="U15" s="34" t="n"/>
      <c r="V15" s="34" t="n"/>
      <c r="W15" s="35" t="n"/>
      <c r="X15" s="34" t="n"/>
      <c r="Y15" s="34" t="n"/>
      <c r="Z15" s="35" t="n"/>
      <c r="AA15" s="34" t="n"/>
      <c r="AB15" s="34" t="n"/>
      <c r="AC15" s="35" t="n"/>
      <c r="AD15" s="34" t="n"/>
      <c r="AE15" s="34" t="n"/>
      <c r="AF15" s="35" t="n"/>
    </row>
    <row r="16" ht="15" customHeight="1" s="26">
      <c r="A16" s="31" t="inlineStr">
        <is>
          <t>reality</t>
        </is>
      </c>
      <c r="B16" s="32" t="inlineStr">
        <is>
          <t>Genre</t>
        </is>
      </c>
      <c r="C16" s="33" t="n">
        <v>0</v>
      </c>
      <c r="D16" s="33" t="n">
        <v>0</v>
      </c>
      <c r="E16" s="32">
        <f>IF(ABS(C16-D16)&lt;0.001,"OK","MISMATCH")</f>
        <v/>
      </c>
      <c r="F16" s="33" t="n">
        <v>0</v>
      </c>
      <c r="G16" s="33" t="n">
        <v>0</v>
      </c>
      <c r="H16" s="32">
        <f>IF(ABS(F16-G16)&lt;0.001,"OK","MISMATCH")</f>
        <v/>
      </c>
      <c r="I16" s="33" t="n">
        <v>0.774</v>
      </c>
      <c r="J16" s="33" t="n">
        <v>0.774</v>
      </c>
      <c r="K16" s="32">
        <f>IF(ABS(I16-J16)&lt;0.001,"OK","MISMATCH")</f>
        <v/>
      </c>
      <c r="L16" s="33" t="n">
        <v>0</v>
      </c>
      <c r="M16" s="33" t="n">
        <v>0</v>
      </c>
      <c r="N16" s="32">
        <f>IF(ABS(L16-M16)&lt;0.001,"OK","MISMATCH")</f>
        <v/>
      </c>
      <c r="O16" s="33" t="n">
        <v>0</v>
      </c>
      <c r="P16" s="33" t="n">
        <v>0</v>
      </c>
      <c r="Q16" s="32">
        <f>IF(ABS(O16-P16)&lt;0.001,"OK","MISMATCH")</f>
        <v/>
      </c>
      <c r="R16" s="34" t="n"/>
      <c r="S16" s="34" t="n"/>
      <c r="T16" s="35" t="n"/>
      <c r="U16" s="34" t="n"/>
      <c r="V16" s="34" t="n"/>
      <c r="W16" s="35" t="n"/>
      <c r="X16" s="34" t="n"/>
      <c r="Y16" s="34" t="n"/>
      <c r="Z16" s="35" t="n"/>
      <c r="AA16" s="34" t="n"/>
      <c r="AB16" s="34" t="n"/>
      <c r="AC16" s="35" t="n"/>
      <c r="AD16" s="34" t="n"/>
      <c r="AE16" s="34" t="n"/>
      <c r="AF16" s="35" t="n"/>
    </row>
    <row r="17" ht="15" customHeight="1" s="26">
      <c r="A17" s="31" t="inlineStr">
        <is>
          <t>romance</t>
        </is>
      </c>
      <c r="B17" s="32" t="inlineStr">
        <is>
          <t>Genre</t>
        </is>
      </c>
      <c r="C17" s="33" t="n">
        <v>0</v>
      </c>
      <c r="D17" s="33" t="n">
        <v>0</v>
      </c>
      <c r="E17" s="32">
        <f>IF(ABS(C17-D17)&lt;0.001,"OK","MISMATCH")</f>
        <v/>
      </c>
      <c r="F17" s="33" t="n">
        <v>0.3</v>
      </c>
      <c r="G17" s="33" t="n">
        <v>0.3</v>
      </c>
      <c r="H17" s="32">
        <f>IF(ABS(F17-G17)&lt;0.001,"OK","MISMATCH")</f>
        <v/>
      </c>
      <c r="I17" s="33" t="n">
        <v>0.374</v>
      </c>
      <c r="J17" s="33" t="n">
        <v>0.374</v>
      </c>
      <c r="K17" s="32">
        <f>IF(ABS(I17-J17)&lt;0.001,"OK","MISMATCH")</f>
        <v/>
      </c>
      <c r="L17" s="33" t="n">
        <v>1</v>
      </c>
      <c r="M17" s="33" t="n">
        <v>1</v>
      </c>
      <c r="N17" s="32">
        <f>IF(ABS(L17-M17)&lt;0.001,"OK","MISMATCH")</f>
        <v/>
      </c>
      <c r="O17" s="33" t="n">
        <v>0.5</v>
      </c>
      <c r="P17" s="33" t="n">
        <v>0.5</v>
      </c>
      <c r="Q17" s="32">
        <f>IF(ABS(O17-P17)&lt;0.001,"OK","MISMATCH")</f>
        <v/>
      </c>
      <c r="R17" s="34" t="n"/>
      <c r="S17" s="34" t="n"/>
      <c r="T17" s="35" t="n"/>
      <c r="U17" s="34" t="n"/>
      <c r="V17" s="34" t="n"/>
      <c r="W17" s="35" t="n"/>
      <c r="X17" s="34" t="n"/>
      <c r="Y17" s="34" t="n"/>
      <c r="Z17" s="35" t="n"/>
      <c r="AA17" s="34" t="n"/>
      <c r="AB17" s="34" t="n"/>
      <c r="AC17" s="35" t="n"/>
      <c r="AD17" s="34" t="n"/>
      <c r="AE17" s="34" t="n"/>
      <c r="AF17" s="35" t="n"/>
    </row>
    <row r="18" ht="15" customHeight="1" s="26">
      <c r="A18" s="31" t="inlineStr">
        <is>
          <t>scifi</t>
        </is>
      </c>
      <c r="B18" s="32" t="inlineStr">
        <is>
          <t>Genre</t>
        </is>
      </c>
      <c r="C18" s="33" t="n">
        <v>1</v>
      </c>
      <c r="D18" s="33" t="n">
        <v>1</v>
      </c>
      <c r="E18" s="32">
        <f>IF(ABS(C18-D18)&lt;0.001,"OK","MISMATCH")</f>
        <v/>
      </c>
      <c r="F18" s="33" t="n">
        <v>0</v>
      </c>
      <c r="G18" s="33" t="n">
        <v>0</v>
      </c>
      <c r="H18" s="32">
        <f>IF(ABS(F18-G18)&lt;0.001,"OK","MISMATCH")</f>
        <v/>
      </c>
      <c r="I18" s="33" t="n">
        <v>0.86</v>
      </c>
      <c r="J18" s="33" t="n">
        <v>0.86</v>
      </c>
      <c r="K18" s="32">
        <f>IF(ABS(I18-J18)&lt;0.001,"OK","MISMATCH")</f>
        <v/>
      </c>
      <c r="L18" s="33" t="n">
        <v>0.92</v>
      </c>
      <c r="M18" s="33" t="n">
        <v>0.92</v>
      </c>
      <c r="N18" s="32">
        <f>IF(ABS(L18-M18)&lt;0.001,"OK","MISMATCH")</f>
        <v/>
      </c>
      <c r="O18" s="33" t="n">
        <v>0.92</v>
      </c>
      <c r="P18" s="33" t="n">
        <v>0.92</v>
      </c>
      <c r="Q18" s="32">
        <f>IF(ABS(O18-P18)&lt;0.001,"OK","MISMATCH")</f>
        <v/>
      </c>
      <c r="R18" s="34" t="n"/>
      <c r="S18" s="34" t="n"/>
      <c r="T18" s="35" t="n"/>
      <c r="U18" s="34" t="n"/>
      <c r="V18" s="34" t="n"/>
      <c r="W18" s="35" t="n"/>
      <c r="X18" s="34" t="n"/>
      <c r="Y18" s="34" t="n"/>
      <c r="Z18" s="35" t="n"/>
      <c r="AA18" s="34" t="n"/>
      <c r="AB18" s="34" t="n"/>
      <c r="AC18" s="35" t="n"/>
      <c r="AD18" s="34" t="n"/>
      <c r="AE18" s="34" t="n"/>
      <c r="AF18" s="35" t="n"/>
    </row>
    <row r="19" ht="15" customHeight="1" s="26">
      <c r="A19" s="31" t="inlineStr">
        <is>
          <t>thriller</t>
        </is>
      </c>
      <c r="B19" s="32" t="inlineStr">
        <is>
          <t>Genre</t>
        </is>
      </c>
      <c r="C19" s="33" t="n">
        <v>0.7</v>
      </c>
      <c r="D19" s="33" t="n">
        <v>0.7</v>
      </c>
      <c r="E19" s="32">
        <f>IF(ABS(C19-D19)&lt;0.001,"OK","MISMATCH")</f>
        <v/>
      </c>
      <c r="F19" s="33" t="n">
        <v>0.61</v>
      </c>
      <c r="G19" s="33" t="n">
        <v>0.61</v>
      </c>
      <c r="H19" s="32">
        <f>IF(ABS(F19-G19)&lt;0.001,"OK","MISMATCH")</f>
        <v/>
      </c>
      <c r="I19" s="33" t="n">
        <v>0.3</v>
      </c>
      <c r="J19" s="33" t="n">
        <v>0.3</v>
      </c>
      <c r="K19" s="32">
        <f>IF(ABS(I19-J19)&lt;0.001,"OK","MISMATCH")</f>
        <v/>
      </c>
      <c r="L19" s="33" t="n">
        <v>0.348</v>
      </c>
      <c r="M19" s="33" t="n">
        <v>0.348</v>
      </c>
      <c r="N19" s="32">
        <f>IF(ABS(L19-M19)&lt;0.001,"OK","MISMATCH")</f>
        <v/>
      </c>
      <c r="O19" s="33" t="n">
        <v>0</v>
      </c>
      <c r="P19" s="33" t="n">
        <v>0</v>
      </c>
      <c r="Q19" s="32">
        <f>IF(ABS(O19-P19)&lt;0.001,"OK","MISMATCH")</f>
        <v/>
      </c>
      <c r="R19" s="34" t="n"/>
      <c r="S19" s="34" t="n"/>
      <c r="T19" s="35" t="n"/>
      <c r="U19" s="34" t="n"/>
      <c r="V19" s="34" t="n"/>
      <c r="W19" s="35" t="n"/>
      <c r="X19" s="34" t="n"/>
      <c r="Y19" s="34" t="n"/>
      <c r="Z19" s="35" t="n"/>
      <c r="AA19" s="34" t="n"/>
      <c r="AB19" s="34" t="n"/>
      <c r="AC19" s="35" t="n"/>
      <c r="AD19" s="34" t="n"/>
      <c r="AE19" s="34" t="n"/>
      <c r="AF19" s="35" t="n"/>
    </row>
    <row r="20" ht="15" customHeight="1" s="26">
      <c r="A20" s="31" t="inlineStr">
        <is>
          <t>war</t>
        </is>
      </c>
      <c r="B20" s="32" t="inlineStr">
        <is>
          <t>Genre</t>
        </is>
      </c>
      <c r="C20" s="33" t="n">
        <v>0.7</v>
      </c>
      <c r="D20" s="33" t="n">
        <v>0.7</v>
      </c>
      <c r="E20" s="32">
        <f>IF(ABS(C20-D20)&lt;0.001,"OK","MISMATCH")</f>
        <v/>
      </c>
      <c r="F20" s="33" t="n">
        <v>0</v>
      </c>
      <c r="G20" s="33" t="n">
        <v>0</v>
      </c>
      <c r="H20" s="32">
        <f>IF(ABS(F20-G20)&lt;0.001,"OK","MISMATCH")</f>
        <v/>
      </c>
      <c r="I20" s="33" t="n">
        <v>0</v>
      </c>
      <c r="J20" s="33" t="n">
        <v>0</v>
      </c>
      <c r="K20" s="32">
        <f>IF(ABS(I20-J20)&lt;0.001,"OK","MISMATCH")</f>
        <v/>
      </c>
      <c r="L20" s="33" t="n">
        <v>0</v>
      </c>
      <c r="M20" s="33" t="n">
        <v>0</v>
      </c>
      <c r="N20" s="32">
        <f>IF(ABS(L20-M20)&lt;0.001,"OK","MISMATCH")</f>
        <v/>
      </c>
      <c r="O20" s="33" t="n">
        <v>0</v>
      </c>
      <c r="P20" s="33" t="n">
        <v>0</v>
      </c>
      <c r="Q20" s="32">
        <f>IF(ABS(O20-P20)&lt;0.001,"OK","MISMATCH")</f>
        <v/>
      </c>
      <c r="R20" s="34" t="n"/>
      <c r="S20" s="34" t="n"/>
      <c r="T20" s="35" t="n"/>
      <c r="U20" s="34" t="n"/>
      <c r="V20" s="34" t="n"/>
      <c r="W20" s="35" t="n"/>
      <c r="X20" s="34" t="n"/>
      <c r="Y20" s="34" t="n"/>
      <c r="Z20" s="35" t="n"/>
      <c r="AA20" s="34" t="n"/>
      <c r="AB20" s="34" t="n"/>
      <c r="AC20" s="35" t="n"/>
      <c r="AD20" s="34" t="n"/>
      <c r="AE20" s="34" t="n"/>
      <c r="AF20" s="35" t="n"/>
    </row>
    <row r="21" ht="15" customHeight="1" s="26">
      <c r="A21" s="31" t="inlineStr">
        <is>
          <t>western</t>
        </is>
      </c>
      <c r="B21" s="32" t="inlineStr">
        <is>
          <t>Genre</t>
        </is>
      </c>
      <c r="C21" s="33" t="n">
        <v>0</v>
      </c>
      <c r="D21" s="33" t="n">
        <v>0</v>
      </c>
      <c r="E21" s="32">
        <f>IF(ABS(C21-D21)&lt;0.001,"OK","MISMATCH")</f>
        <v/>
      </c>
      <c r="F21" s="33" t="n">
        <v>0</v>
      </c>
      <c r="G21" s="33" t="n">
        <v>0</v>
      </c>
      <c r="H21" s="32">
        <f>IF(ABS(F21-G21)&lt;0.001,"OK","MISMATCH")</f>
        <v/>
      </c>
      <c r="I21" s="33" t="n">
        <v>0</v>
      </c>
      <c r="J21" s="33" t="n">
        <v>0</v>
      </c>
      <c r="K21" s="32">
        <f>IF(ABS(I21-J21)&lt;0.001,"OK","MISMATCH")</f>
        <v/>
      </c>
      <c r="L21" s="33" t="n">
        <v>0</v>
      </c>
      <c r="M21" s="33" t="n">
        <v>0</v>
      </c>
      <c r="N21" s="32">
        <f>IF(ABS(L21-M21)&lt;0.001,"OK","MISMATCH")</f>
        <v/>
      </c>
      <c r="O21" s="33" t="n">
        <v>0</v>
      </c>
      <c r="P21" s="33" t="n">
        <v>0</v>
      </c>
      <c r="Q21" s="32">
        <f>IF(ABS(O21-P21)&lt;0.001,"OK","MISMATCH")</f>
        <v/>
      </c>
      <c r="R21" s="34" t="n"/>
      <c r="S21" s="34" t="n"/>
      <c r="T21" s="35" t="n"/>
      <c r="U21" s="34" t="n"/>
      <c r="V21" s="34" t="n"/>
      <c r="W21" s="35" t="n"/>
      <c r="X21" s="34" t="n"/>
      <c r="Y21" s="34" t="n"/>
      <c r="Z21" s="35" t="n"/>
      <c r="AA21" s="34" t="n"/>
      <c r="AB21" s="34" t="n"/>
      <c r="AC21" s="35" t="n"/>
      <c r="AD21" s="34" t="n"/>
      <c r="AE21" s="34" t="n"/>
      <c r="AF21" s="35" t="n"/>
    </row>
    <row r="22" ht="15" customHeight="1" s="26">
      <c r="A22" s="36" t="inlineStr">
        <is>
          <t>tone</t>
        </is>
      </c>
      <c r="B22" s="37" t="inlineStr">
        <is>
          <t>Meta</t>
        </is>
      </c>
      <c r="C22" s="38" t="n">
        <v>-0.651</v>
      </c>
      <c r="D22" s="38" t="n">
        <v>-0.651</v>
      </c>
      <c r="E22" s="37">
        <f>IF(ABS(C22-D22)&lt;0.001,"OK","MISMATCH")</f>
        <v/>
      </c>
      <c r="F22" s="38" t="n">
        <v>0.488</v>
      </c>
      <c r="G22" s="38" t="n">
        <v>0.488</v>
      </c>
      <c r="H22" s="37">
        <f>IF(ABS(F22-G22)&lt;0.001,"OK","MISMATCH")</f>
        <v/>
      </c>
      <c r="I22" s="38" t="n">
        <v>-0.04</v>
      </c>
      <c r="J22" s="38" t="n">
        <v>-0.04</v>
      </c>
      <c r="K22" s="37">
        <f>IF(ABS(I22-J22)&lt;0.001,"OK","MISMATCH")</f>
        <v/>
      </c>
      <c r="L22" s="38" t="n">
        <v>0.08699999999999999</v>
      </c>
      <c r="M22" s="38" t="n">
        <v>0.08699999999999999</v>
      </c>
      <c r="N22" s="37">
        <f>IF(ABS(L22-M22)&lt;0.001,"OK","MISMATCH")</f>
        <v/>
      </c>
      <c r="O22" s="38" t="n">
        <v>1</v>
      </c>
      <c r="P22" s="38" t="n">
        <v>1</v>
      </c>
      <c r="Q22" s="37">
        <f>IF(ABS(O22-P22)&lt;0.001,"OK","MISMATCH")</f>
        <v/>
      </c>
      <c r="R22" s="39" t="n"/>
      <c r="S22" s="39" t="n"/>
      <c r="T22" s="40" t="n"/>
      <c r="U22" s="39" t="n"/>
      <c r="V22" s="39" t="n"/>
      <c r="W22" s="40" t="n"/>
      <c r="X22" s="39" t="n"/>
      <c r="Y22" s="39" t="n"/>
      <c r="Z22" s="40" t="n"/>
      <c r="AA22" s="39" t="n"/>
      <c r="AB22" s="39" t="n"/>
      <c r="AC22" s="40" t="n"/>
      <c r="AD22" s="39" t="n"/>
      <c r="AE22" s="39" t="n"/>
      <c r="AF22" s="40" t="n"/>
    </row>
    <row r="23" ht="15" customHeight="1" s="26">
      <c r="A23" s="36" t="inlineStr">
        <is>
          <t>pacing</t>
        </is>
      </c>
      <c r="B23" s="37" t="inlineStr">
        <is>
          <t>Meta</t>
        </is>
      </c>
      <c r="C23" s="38" t="n">
        <v>1</v>
      </c>
      <c r="D23" s="38" t="n">
        <v>1</v>
      </c>
      <c r="E23" s="37">
        <f>IF(ABS(C23-D23)&lt;0.001,"OK","MISMATCH")</f>
        <v/>
      </c>
      <c r="F23" s="38" t="n">
        <v>-0.843</v>
      </c>
      <c r="G23" s="38" t="n">
        <v>-0.843</v>
      </c>
      <c r="H23" s="37">
        <f>IF(ABS(F23-G23)&lt;0.001,"OK","MISMATCH")</f>
        <v/>
      </c>
      <c r="I23" s="38" t="n">
        <v>-0.284</v>
      </c>
      <c r="J23" s="38" t="n">
        <v>-0.284</v>
      </c>
      <c r="K23" s="37">
        <f>IF(ABS(I23-J23)&lt;0.001,"OK","MISMATCH")</f>
        <v/>
      </c>
      <c r="L23" s="38" t="n">
        <v>0.623</v>
      </c>
      <c r="M23" s="38" t="n">
        <v>0.623</v>
      </c>
      <c r="N23" s="37">
        <f>IF(ABS(L23-M23)&lt;0.001,"OK","MISMATCH")</f>
        <v/>
      </c>
      <c r="O23" s="38" t="n">
        <v>0.378</v>
      </c>
      <c r="P23" s="38" t="n">
        <v>0.378</v>
      </c>
      <c r="Q23" s="37">
        <f>IF(ABS(O23-P23)&lt;0.001,"OK","MISMATCH")</f>
        <v/>
      </c>
      <c r="R23" s="39" t="n"/>
      <c r="S23" s="39" t="n"/>
      <c r="T23" s="40" t="n"/>
      <c r="U23" s="39" t="n"/>
      <c r="V23" s="39" t="n"/>
      <c r="W23" s="40" t="n"/>
      <c r="X23" s="39" t="n"/>
      <c r="Y23" s="39" t="n"/>
      <c r="Z23" s="40" t="n"/>
      <c r="AA23" s="39" t="n"/>
      <c r="AB23" s="39" t="n"/>
      <c r="AC23" s="40" t="n"/>
      <c r="AD23" s="39" t="n"/>
      <c r="AE23" s="39" t="n"/>
      <c r="AF23" s="40" t="n"/>
    </row>
    <row r="24" ht="15" customHeight="1" s="26">
      <c r="A24" s="36" t="inlineStr">
        <is>
          <t>era</t>
        </is>
      </c>
      <c r="B24" s="37" t="inlineStr">
        <is>
          <t>Meta</t>
        </is>
      </c>
      <c r="C24" s="38" t="n">
        <v>0.97</v>
      </c>
      <c r="D24" s="38" t="n">
        <v>0.97</v>
      </c>
      <c r="E24" s="37">
        <f>IF(ABS(C24-D24)&lt;0.001,"OK","MISMATCH")</f>
        <v/>
      </c>
      <c r="F24" s="38" t="n">
        <v>-0.331</v>
      </c>
      <c r="G24" s="38" t="n">
        <v>-0.331</v>
      </c>
      <c r="H24" s="37">
        <f>IF(ABS(F24-G24)&lt;0.001,"OK","MISMATCH")</f>
        <v/>
      </c>
      <c r="I24" s="38" t="n">
        <v>-0.51</v>
      </c>
      <c r="J24" s="38" t="n">
        <v>-0.51</v>
      </c>
      <c r="K24" s="37">
        <f>IF(ABS(I24-J24)&lt;0.001,"OK","MISMATCH")</f>
        <v/>
      </c>
      <c r="L24" s="38" t="n">
        <v>0.027</v>
      </c>
      <c r="M24" s="38" t="n">
        <v>0.027</v>
      </c>
      <c r="N24" s="37">
        <f>IF(ABS(L24-M24)&lt;0.001,"OK","MISMATCH")</f>
        <v/>
      </c>
      <c r="O24" s="38" t="n">
        <v>0.436</v>
      </c>
      <c r="P24" s="38" t="n">
        <v>0.436</v>
      </c>
      <c r="Q24" s="37">
        <f>IF(ABS(O24-P24)&lt;0.001,"OK","MISMATCH")</f>
        <v/>
      </c>
      <c r="R24" s="39" t="n"/>
      <c r="S24" s="39" t="n"/>
      <c r="T24" s="40" t="n"/>
      <c r="U24" s="39" t="n"/>
      <c r="V24" s="39" t="n"/>
      <c r="W24" s="40" t="n"/>
      <c r="X24" s="39" t="n"/>
      <c r="Y24" s="39" t="n"/>
      <c r="Z24" s="40" t="n"/>
      <c r="AA24" s="39" t="n"/>
      <c r="AB24" s="39" t="n"/>
      <c r="AC24" s="40" t="n"/>
      <c r="AD24" s="39" t="n"/>
      <c r="AE24" s="39" t="n"/>
      <c r="AF24" s="40" t="n"/>
    </row>
    <row r="25" ht="15" customHeight="1" s="26">
      <c r="A25" s="36" t="inlineStr">
        <is>
          <t>popularity</t>
        </is>
      </c>
      <c r="B25" s="37" t="inlineStr">
        <is>
          <t>Meta</t>
        </is>
      </c>
      <c r="C25" s="38" t="n">
        <v>0.27</v>
      </c>
      <c r="D25" s="38" t="n">
        <v>0.27</v>
      </c>
      <c r="E25" s="37">
        <f>IF(ABS(C25-D25)&lt;0.001,"OK","MISMATCH")</f>
        <v/>
      </c>
      <c r="F25" s="38" t="n">
        <v>-0.342</v>
      </c>
      <c r="G25" s="38" t="n">
        <v>-0.342</v>
      </c>
      <c r="H25" s="37">
        <f>IF(ABS(F25-G25)&lt;0.001,"OK","MISMATCH")</f>
        <v/>
      </c>
      <c r="I25" s="38" t="n">
        <v>0.5639999999999999</v>
      </c>
      <c r="J25" s="38" t="n">
        <v>0.5639999999999999</v>
      </c>
      <c r="K25" s="37">
        <f>IF(ABS(I25-J25)&lt;0.001,"OK","MISMATCH")</f>
        <v/>
      </c>
      <c r="L25" s="38" t="n">
        <v>0.052</v>
      </c>
      <c r="M25" s="38" t="n">
        <v>0.052</v>
      </c>
      <c r="N25" s="37">
        <f>IF(ABS(L25-M25)&lt;0.001,"OK","MISMATCH")</f>
        <v/>
      </c>
      <c r="O25" s="38" t="n">
        <v>-0.54</v>
      </c>
      <c r="P25" s="38" t="n">
        <v>-0.54</v>
      </c>
      <c r="Q25" s="37">
        <f>IF(ABS(O25-P25)&lt;0.001,"OK","MISMATCH")</f>
        <v/>
      </c>
      <c r="R25" s="39" t="n"/>
      <c r="S25" s="39" t="n"/>
      <c r="T25" s="40" t="n"/>
      <c r="U25" s="39" t="n"/>
      <c r="V25" s="39" t="n"/>
      <c r="W25" s="40" t="n"/>
      <c r="X25" s="39" t="n"/>
      <c r="Y25" s="39" t="n"/>
      <c r="Z25" s="40" t="n"/>
      <c r="AA25" s="39" t="n"/>
      <c r="AB25" s="39" t="n"/>
      <c r="AC25" s="40" t="n"/>
      <c r="AD25" s="39" t="n"/>
      <c r="AE25" s="39" t="n"/>
      <c r="AF25" s="40" t="n"/>
    </row>
    <row r="26" ht="15" customHeight="1" s="26">
      <c r="A26" s="36" t="inlineStr">
        <is>
          <t>intensity</t>
        </is>
      </c>
      <c r="B26" s="37" t="inlineStr">
        <is>
          <t>Meta</t>
        </is>
      </c>
      <c r="C26" s="38" t="n">
        <v>1</v>
      </c>
      <c r="D26" s="38" t="n">
        <v>1</v>
      </c>
      <c r="E26" s="37">
        <f>IF(ABS(C26-D26)&lt;0.001,"OK","MISMATCH")</f>
        <v/>
      </c>
      <c r="F26" s="38" t="n">
        <v>0.237</v>
      </c>
      <c r="G26" s="38" t="n">
        <v>0.237</v>
      </c>
      <c r="H26" s="37">
        <f>IF(ABS(F26-G26)&lt;0.001,"OK","MISMATCH")</f>
        <v/>
      </c>
      <c r="I26" s="38" t="n">
        <v>1</v>
      </c>
      <c r="J26" s="38" t="n">
        <v>1</v>
      </c>
      <c r="K26" s="37">
        <f>IF(ABS(I26-J26)&lt;0.001,"OK","MISMATCH")</f>
        <v/>
      </c>
      <c r="L26" s="38" t="n">
        <v>0.841</v>
      </c>
      <c r="M26" s="38" t="n">
        <v>0.841</v>
      </c>
      <c r="N26" s="37">
        <f>IF(ABS(L26-M26)&lt;0.001,"OK","MISMATCH")</f>
        <v/>
      </c>
      <c r="O26" s="38" t="n">
        <v>-0.332</v>
      </c>
      <c r="P26" s="38" t="n">
        <v>-0.332</v>
      </c>
      <c r="Q26" s="37">
        <f>IF(ABS(O26-P26)&lt;0.001,"OK","MISMATCH")</f>
        <v/>
      </c>
      <c r="R26" s="39" t="n"/>
      <c r="S26" s="39" t="n"/>
      <c r="T26" s="40" t="n"/>
      <c r="U26" s="39" t="n"/>
      <c r="V26" s="39" t="n"/>
      <c r="W26" s="40" t="n"/>
      <c r="X26" s="39" t="n"/>
      <c r="Y26" s="39" t="n"/>
      <c r="Z26" s="40" t="n"/>
      <c r="AA26" s="39" t="n"/>
      <c r="AB26" s="39" t="n"/>
      <c r="AC26" s="40" t="n"/>
      <c r="AD26" s="39" t="n"/>
      <c r="AE26" s="39" t="n"/>
      <c r="AF26" s="40" t="n"/>
    </row>
    <row r="28" ht="15" customHeight="1" s="26">
      <c r="A28" s="41" t="inlineStr">
        <is>
          <t>Dimensions at cap (1.0 or -1.0)</t>
        </is>
      </c>
      <c r="B28" s="30" t="n"/>
      <c r="C28" s="42">
        <f>COUNTIF(C2:C26,"&gt;=1")+COUNTIF(C2:C26,"&lt;=-1")</f>
        <v/>
      </c>
      <c r="F28" s="42">
        <f>COUNTIF(F2:F26,"&gt;=1")+COUNTIF(F2:F26,"&lt;=-1")</f>
        <v/>
      </c>
      <c r="I28" s="42">
        <f>COUNTIF(I2:I26,"&gt;=1")+COUNTIF(I2:I26,"&lt;=-1")</f>
        <v/>
      </c>
      <c r="L28" s="42">
        <f>COUNTIF(L2:L26,"&gt;=1")+COUNTIF(L2:L26,"&lt;=-1")</f>
        <v/>
      </c>
      <c r="O28" s="42">
        <f>COUNTIF(O2:O26,"&gt;=1")+COUNTIF(O2:O26,"&lt;=-1")</f>
        <v/>
      </c>
    </row>
    <row r="29" ht="15" customHeight="1" s="26">
      <c r="A29" s="41" t="inlineStr">
        <is>
          <t>Dimensions at zero (0.0)</t>
        </is>
      </c>
      <c r="B29" s="30" t="n"/>
      <c r="C29" s="42">
        <f>COUNTIF(C2:C26,0)</f>
        <v/>
      </c>
      <c r="F29" s="42">
        <f>COUNTIF(F2:F26,0)</f>
        <v/>
      </c>
      <c r="I29" s="42">
        <f>COUNTIF(I2:I26,0)</f>
        <v/>
      </c>
      <c r="L29" s="42">
        <f>COUNTIF(L2:L26,0)</f>
        <v/>
      </c>
      <c r="O29" s="42">
        <f>COUNTIF(O2:O26,0)</f>
        <v/>
      </c>
    </row>
    <row r="30" ht="15" customHeight="1" s="26">
      <c r="A30" s="41" t="inlineStr">
        <is>
          <t>Genre dimensions active (&gt;0)</t>
        </is>
      </c>
      <c r="B30" s="30" t="n"/>
      <c r="C30" s="42">
        <f>COUNTIF(C2:C21,"&gt;0")</f>
        <v/>
      </c>
      <c r="F30" s="42">
        <f>COUNTIF(F2:F21,"&gt;0")</f>
        <v/>
      </c>
      <c r="I30" s="42">
        <f>COUNTIF(I2:I21,"&gt;0")</f>
        <v/>
      </c>
      <c r="L30" s="42">
        <f>COUNTIF(L2:L21,"&gt;0")</f>
        <v/>
      </c>
      <c r="O30" s="42">
        <f>COUNTIF(O2:O21,"&gt;0")</f>
        <v/>
      </c>
    </row>
    <row r="31" ht="15" customHeight="1" s="26">
      <c r="A31" s="41" t="inlineStr">
        <is>
          <t>Meta dimensions active (≠0)</t>
        </is>
      </c>
      <c r="B31" s="30" t="n"/>
      <c r="C31" s="42">
        <f>COUNTIFS(C22:C26,"&lt;&gt;0")</f>
        <v/>
      </c>
      <c r="F31" s="42">
        <f>COUNTIFS(F22:F26,"&lt;&gt;0")</f>
        <v/>
      </c>
      <c r="I31" s="42">
        <f>COUNTIFS(I22:I26,"&lt;&gt;0")</f>
        <v/>
      </c>
      <c r="L31" s="42">
        <f>COUNTIFS(L22:L26,"&lt;&gt;0")</f>
        <v/>
      </c>
      <c r="O31" s="42">
        <f>COUNTIFS(O22:O26,"&lt;&gt;0")</f>
        <v/>
      </c>
    </row>
    <row r="32" ht="15" customHeight="1" s="26">
      <c r="A32" s="41" t="inlineStr">
        <is>
          <t>Max genre value</t>
        </is>
      </c>
      <c r="B32" s="30" t="n"/>
      <c r="C32" s="42">
        <f>MAX(C2:C21)</f>
        <v/>
      </c>
      <c r="F32" s="42">
        <f>MAX(F2:F21)</f>
        <v/>
      </c>
      <c r="I32" s="42">
        <f>MAX(I2:I21)</f>
        <v/>
      </c>
      <c r="L32" s="42">
        <f>MAX(L2:L21)</f>
        <v/>
      </c>
      <c r="O32" s="42">
        <f>MAX(O2:O21)</f>
        <v/>
      </c>
    </row>
    <row r="33" ht="15" customHeight="1" s="26">
      <c r="A33" s="41" t="inlineStr">
        <is>
          <t>Min genre value</t>
        </is>
      </c>
      <c r="B33" s="30" t="n"/>
      <c r="C33" s="42">
        <f>SMALL(C2:C21,COUNTIF(C2:C21,0)+1)</f>
        <v/>
      </c>
      <c r="F33" s="42">
        <f>SMALL(F2:F21,COUNTIF(F2:F21,0)+1)</f>
        <v/>
      </c>
      <c r="I33" s="42">
        <f>SMALL(I2:I21,COUNTIF(I2:I21,0)+1)</f>
        <v/>
      </c>
      <c r="L33" s="42">
        <f>SMALL(L2:L21,COUNTIF(L2:L21,0)+1)</f>
        <v/>
      </c>
      <c r="O33" s="42">
        <f>SMALL(O2:O21,COUNTIF(O2:O21,0)+1)</f>
        <v/>
      </c>
    </row>
    <row r="34" ht="15" customHeight="1" s="26">
      <c r="A34" s="41" t="inlineStr">
        <is>
          <t>Avg active genre value</t>
        </is>
      </c>
      <c r="B34" s="30" t="n"/>
      <c r="C34" s="42">
        <f>AVERAGEIF(C2:C21,"&gt;0")</f>
        <v/>
      </c>
      <c r="F34" s="42">
        <f>AVERAGEIF(F2:F21,"&gt;0")</f>
        <v/>
      </c>
      <c r="I34" s="42">
        <f>AVERAGEIF(I2:I21,"&gt;0")</f>
        <v/>
      </c>
      <c r="L34" s="42">
        <f>AVERAGEIF(L2:L21,"&gt;0")</f>
        <v/>
      </c>
      <c r="O34" s="42">
        <f>AVERAGEIF(O2:O21,"&gt;0")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12" customWidth="1" style="25" min="2" max="2"/>
    <col width="10" customWidth="1" style="25" min="3" max="3"/>
    <col width="16" customWidth="1" style="25" min="4" max="4"/>
    <col width="60" customWidth="1" style="25" min="5" max="5"/>
    <col width="50" customWidth="1" style="25" min="6" max="6"/>
  </cols>
  <sheetData>
    <row r="1" ht="15" customHeight="1" s="26">
      <c r="A1" s="27" t="inlineStr">
        <is>
          <t>Observation</t>
        </is>
      </c>
      <c r="B1" s="27" t="inlineStr">
        <is>
          <t>Session(s)</t>
        </is>
      </c>
      <c r="C1" s="27" t="inlineStr">
        <is>
          <t>Severity</t>
        </is>
      </c>
      <c r="D1" s="27" t="inlineStr">
        <is>
          <t>Category</t>
        </is>
      </c>
      <c r="E1" s="27" t="inlineStr">
        <is>
          <t>Detail</t>
        </is>
      </c>
      <c r="F1" s="27" t="inlineStr">
        <is>
          <t>Action Taken</t>
        </is>
      </c>
    </row>
    <row r="2" ht="34.5" customHeight="1" s="26">
      <c r="A2" s="43" t="inlineStr">
        <is>
          <t>Drama dropped to 0.065</t>
        </is>
      </c>
      <c r="B2" s="43" t="inlineStr">
        <is>
          <t>S1</t>
        </is>
      </c>
      <c r="C2" s="44" t="inlineStr">
        <is>
          <t>Medium</t>
        </is>
      </c>
      <c r="D2" s="43" t="inlineStr">
        <is>
          <t>Cluster signal</t>
        </is>
      </c>
      <c r="E2" s="43" t="inlineStr">
        <is>
          <t>2 clusters seed drama (0.5, 0.2) but quiz pushed it down twice. Mind-Bending Mysteries has no drama signal despite most content being TMDb-tagged drama.</t>
        </is>
      </c>
      <c r="F2" s="43" t="inlineStr">
        <is>
          <t>Added drama:0.3 to Mind-Bending, bumped History drama to 0.6</t>
        </is>
      </c>
    </row>
    <row r="3" ht="34.5" customHeight="1" s="26">
      <c r="A3" s="43" t="inlineStr">
        <is>
          <t>Intensity capped at 1.0</t>
        </is>
      </c>
      <c r="B3" s="43" t="inlineStr">
        <is>
          <t>S1</t>
        </is>
      </c>
      <c r="C3" s="45" t="inlineStr">
        <is>
          <t>High</t>
        </is>
      </c>
      <c r="D3" s="43" t="inlineStr">
        <is>
          <t>Quiz inflation</t>
        </is>
      </c>
      <c r="E3" s="43" t="inlineStr">
        <is>
          <t>Nearly every quiz answer pushed intensity up. 4 dims capped total. Quiz pairs are intensity-inflationary — the popular/recognisable film in each pair tends to be high-intensity.</t>
        </is>
      </c>
      <c r="F3" s="43" t="inlineStr">
        <is>
          <t>Reduced cluster intensity values (Dark Thrillers 0.8→0.7, Action 0.9→0.75, Horror 0.9→0.75). Pair pool rebalancing deferred to V3.</t>
        </is>
      </c>
    </row>
    <row r="4" ht="23.25" customHeight="1" s="26">
      <c r="A4" s="43" t="inlineStr">
        <is>
          <t>Pacing capped at 1.0</t>
        </is>
      </c>
      <c r="B4" s="43" t="inlineStr">
        <is>
          <t>S1</t>
        </is>
      </c>
      <c r="C4" s="44" t="inlineStr">
        <is>
          <t>Medium</t>
        </is>
      </c>
      <c r="D4" s="43" t="inlineStr">
        <is>
          <t>Quiz inflation</t>
        </is>
      </c>
      <c r="E4" s="43" t="inlineStr">
        <is>
          <t>Same pattern as intensity. Most quiz picks were fast-paced titles.</t>
        </is>
      </c>
      <c r="F4" s="43" t="inlineStr">
        <is>
          <t>Monitoring — may need similar cluster value reduction if pattern persists across sessions.</t>
        </is>
      </c>
    </row>
    <row r="5" ht="23.25" customHeight="1" s="26">
      <c r="A5" s="43" t="inlineStr">
        <is>
          <t>Comedy at 1.0 (capped)</t>
        </is>
      </c>
      <c r="B5" s="43" t="inlineStr">
        <is>
          <t>S1</t>
        </is>
      </c>
      <c r="C5" s="46" t="inlineStr">
        <is>
          <t>Low</t>
        </is>
      </c>
      <c r="D5" s="43" t="inlineStr">
        <is>
          <t>Expected</t>
        </is>
      </c>
      <c r="E5" s="43" t="inlineStr">
        <is>
          <t>Feel-Good cluster (0.9) + Superbad quiz pick. Reasonable cap given strong comedy signal.</t>
        </is>
      </c>
      <c r="F5" s="43" t="inlineStr">
        <is>
          <t>No action needed</t>
        </is>
      </c>
    </row>
    <row r="6" ht="15" customHeight="1" s="26">
      <c r="A6" s="43" t="inlineStr">
        <is>
          <t>Documentary at 0.0</t>
        </is>
      </c>
      <c r="B6" s="43" t="inlineStr">
        <is>
          <t>S1</t>
        </is>
      </c>
      <c r="C6" s="46" t="inlineStr">
        <is>
          <t>Low</t>
        </is>
      </c>
      <c r="D6" s="43" t="inlineStr">
        <is>
          <t>Expected</t>
        </is>
      </c>
      <c r="E6" s="43" t="inlineStr">
        <is>
          <t>No cluster selected has documentary signal. Working as designed.</t>
        </is>
      </c>
      <c r="F6" s="43" t="inlineStr">
        <is>
          <t>No action needed</t>
        </is>
      </c>
    </row>
    <row r="7" ht="45.75" customHeight="1" s="26">
      <c r="A7" s="43" t="inlineStr">
        <is>
          <t>Drama dominated at 0.784 despite no drama cluster</t>
        </is>
      </c>
      <c r="B7" s="43" t="inlineStr">
        <is>
          <t>S2</t>
        </is>
      </c>
      <c r="C7" s="46" t="inlineStr">
        <is>
          <t>Low</t>
        </is>
      </c>
      <c r="D7" s="43" t="inlineStr">
        <is>
          <t>Positive signal</t>
        </is>
      </c>
      <c r="E7" s="43" t="inlineStr">
        <is>
          <t>Base was 0.400 (from Cult &amp; Indie 0.3 + Prestige 0.7 averaged). Quiz added +0.384 via Shawshank, Jane Eyre, Squid Game picks. Drama correctly emerges from clusters that contain drama-heavy content without being named 'Drama'.</t>
        </is>
      </c>
      <c r="F7" s="43" t="inlineStr">
        <is>
          <t>No action — this validates the cluster design. Drama signal comes through naturally.</t>
        </is>
      </c>
    </row>
    <row r="8" ht="34.5" customHeight="1" s="26">
      <c r="A8" s="43" t="inlineStr">
        <is>
          <t>Tone flipped from -0.220 seed to +0.488 final</t>
        </is>
      </c>
      <c r="B8" s="43" t="inlineStr">
        <is>
          <t>S2</t>
        </is>
      </c>
      <c r="C8" s="46" t="inlineStr">
        <is>
          <t>Low</t>
        </is>
      </c>
      <c r="D8" s="43" t="inlineStr">
        <is>
          <t>Positive signal</t>
        </is>
      </c>
      <c r="E8" s="43" t="inlineStr">
        <is>
          <t>Cluster seed was slightly dark (Horror -0.9, True Crime -0.5 offset by Feel-Good +0.8). Quiz pushed +0.708 via Friends, Ted Lasso, Big Bang Theory, Planet Earth picks. 6 of 10 answers pushed tone positive.</t>
        </is>
      </c>
      <c r="F8" s="43" t="inlineStr">
        <is>
          <t>No action — quiz correctly resolved an ambiguous seed. User's cluster mix was tonally mixed; quiz identified the lighter preference.</t>
        </is>
      </c>
    </row>
    <row r="9" ht="45.75" customHeight="1" s="26">
      <c r="A9" s="43" t="inlineStr">
        <is>
          <t>Pacing very slow at -0.843</t>
        </is>
      </c>
      <c r="B9" s="43" t="inlineStr">
        <is>
          <t>S2</t>
        </is>
      </c>
      <c r="C9" s="44" t="inlineStr">
        <is>
          <t>Medium</t>
        </is>
      </c>
      <c r="D9" s="43" t="inlineStr">
        <is>
          <t>Quiz inflation</t>
        </is>
      </c>
      <c r="E9" s="43" t="inlineStr">
        <is>
          <t>Seed was -0.025 (near neutral). Quiz pushed -0.818. 6 answers contributed negative pacing deltas (Pride &amp; Prejudice, The Crown, Shawshank, Planet Earth, Jane Eyre, Big Bang Theory). Only Dark Knight pushed fast.</t>
        </is>
      </c>
      <c r="F9" s="43" t="inlineStr">
        <is>
          <t>Mirror of S1's intensity inflation but in the opposite direction. Pacing accumulates fast because most 'thoughtful' picks are also slow. Monitor across more sessions.</t>
        </is>
      </c>
    </row>
    <row r="10" ht="34.5" customHeight="1" s="26">
      <c r="A10" s="43" t="inlineStr">
        <is>
          <t>No dimensions capped at ±1.0</t>
        </is>
      </c>
      <c r="B10" s="43" t="inlineStr">
        <is>
          <t>S2</t>
        </is>
      </c>
      <c r="C10" s="46" t="inlineStr">
        <is>
          <t>Low</t>
        </is>
      </c>
      <c r="D10" s="43" t="inlineStr">
        <is>
          <t>Positive signal</t>
        </is>
      </c>
      <c r="E10" s="43" t="inlineStr">
        <is>
          <t>Intensity tweaks from S1 worked — intensity landed at 0.237 (was 1.0 in S1). Only pacing (-0.843) is close to the floor. 0 capped dimensions vs 4 in S1.</t>
        </is>
      </c>
      <c r="F10" s="43" t="inlineStr">
        <is>
          <t>Intensity cluster value reductions validated. Pacing may need similar treatment if pattern continues.</t>
        </is>
      </c>
    </row>
    <row r="11" ht="34.5" customHeight="1" s="26">
      <c r="A11" s="43" t="inlineStr">
        <is>
          <t>Popularity stayed niche at -0.342</t>
        </is>
      </c>
      <c r="B11" s="43" t="inlineStr">
        <is>
          <t>S2</t>
        </is>
      </c>
      <c r="C11" s="46" t="inlineStr">
        <is>
          <t>Low</t>
        </is>
      </c>
      <c r="D11" s="43" t="inlineStr">
        <is>
          <t>Expected</t>
        </is>
      </c>
      <c r="E11" s="43" t="inlineStr">
        <is>
          <t>Seed was -0.600 (Cult &amp; Indie -0.8, Prestige -0.4). Quiz pulled slightly mainstream (+0.258) via Squid Game 'Both' pick. Final value still niche-leaning.</t>
        </is>
      </c>
      <c r="F11" s="43" t="inlineStr">
        <is>
          <t>No action — working as designed. Cult &amp; Indie's strong popularity signal persists through quiz.</t>
        </is>
      </c>
    </row>
    <row r="12" ht="57" customHeight="1" s="26">
      <c r="A12" s="43" t="inlineStr">
        <is>
          <t>Intensity capped at 1.0 again (raw 1.086)</t>
        </is>
      </c>
      <c r="B12" s="43" t="inlineStr">
        <is>
          <t>S3</t>
        </is>
      </c>
      <c r="C12" s="45" t="inlineStr">
        <is>
          <t>High</t>
        </is>
      </c>
      <c r="D12" s="43" t="inlineStr">
        <is>
          <t>Quiz inflation</t>
        </is>
      </c>
      <c r="E12" s="43" t="inlineStr">
        <is>
          <t>Cluster seed was 0.370 (post-reduction). Quiz added +0.716 via Dark Knight, Shawshank, Black Mirror, Peaky Blinders. Even with the cluster intensity reductions from S1, the quiz still pushes intensity to the ceiling when a user picks 4+ intense titles. Action &amp; Adrenaline cluster at 0.75 contributed to a higher seed than S2.</t>
        </is>
      </c>
      <c r="F12" s="43" t="inlineStr">
        <is>
          <t>Cluster reductions alone are insufficient. This confirms the pair pool needs rebalancing (V3). Consider also reducing quiz delta weights for intensity specifically.</t>
        </is>
      </c>
    </row>
    <row r="13" ht="45.75" customHeight="1" s="26">
      <c r="A13" s="43" t="inlineStr">
        <is>
          <t>Action and drama both capped at 1.0 (raw 1.200)</t>
        </is>
      </c>
      <c r="B13" s="43" t="inlineStr">
        <is>
          <t>S3</t>
        </is>
      </c>
      <c r="C13" s="44" t="inlineStr">
        <is>
          <t>Medium</t>
        </is>
      </c>
      <c r="D13" s="43" t="inlineStr">
        <is>
          <t>Broad seed</t>
        </is>
      </c>
      <c r="E13" s="43" t="inlineStr">
        <is>
          <t>Both had 0.9 seed values. Quiz only needed +0.1 to cap them, but added +0.3 each. With 4 genres seeded at 0.9, the quiz has almost no headroom to differentiate. The broad cluster selection (5 diverse clusters) creates a high-base problem.</t>
        </is>
      </c>
      <c r="F13" s="43" t="inlineStr">
        <is>
          <t>Inherent to broad cluster combos. Narrower selections (S1, S2) don't exhibit this. Not a bug — it's the trade-off of choosing maximally diverse clusters. The quiz still differentiates on the non-capped dims.</t>
        </is>
      </c>
    </row>
    <row r="14" ht="45.75" customHeight="1" s="26">
      <c r="A14" s="43" t="inlineStr">
        <is>
          <t>5 dimensions capped (3 ceiling, 2 floor)</t>
        </is>
      </c>
      <c r="B14" s="43" t="inlineStr">
        <is>
          <t>S3</t>
        </is>
      </c>
      <c r="C14" s="45" t="inlineStr">
        <is>
          <t>High</t>
        </is>
      </c>
      <c r="D14" s="43" t="inlineStr">
        <is>
          <t>Cap accumulation</t>
        </is>
      </c>
      <c r="E14" s="43" t="inlineStr">
        <is>
          <t>action=1.0, drama=1.0, intensity=1.0 (ceiling). horror=0.0, musical=0.0 (floor, clamped from negative). S1 had 4 caps, S2 had 0, S3 has 5. Pattern: diverse cluster combos with Action &amp; Adrenaline produce more caps.</t>
        </is>
      </c>
      <c r="F14" s="43" t="inlineStr">
        <is>
          <t>Action &amp; Adrenaline's pacing (0.9) and intensity (0.75) are the highest meta values of any cluster. Consider whether pacing:0.9 needs reduction to 0.7 (matching the intensity treatment).</t>
        </is>
      </c>
    </row>
    <row r="15" ht="45.75" customHeight="1" s="26">
      <c r="A15" s="43" t="inlineStr">
        <is>
          <t>Tone nearly neutral at -0.040</t>
        </is>
      </c>
      <c r="B15" s="43" t="inlineStr">
        <is>
          <t>S3</t>
        </is>
      </c>
      <c r="C15" s="46" t="inlineStr">
        <is>
          <t>Low</t>
        </is>
      </c>
      <c r="D15" s="43" t="inlineStr">
        <is>
          <t>Expected</t>
        </is>
      </c>
      <c r="E15" s="43" t="inlineStr">
        <is>
          <t>Cluster seed was +0.025 (competing signals: Heartfelt +0.3, Reality +0.5 vs True Crime -0.5). Quiz delta was -0.065. Dark picks (Dark Knight, Shawshank, Black Mirror, Peaky Blinders) almost perfectly cancelled by light picks (Planet Earth, Friends, Bridesmaids). Genuinely neutral user.</t>
        </is>
      </c>
      <c r="F15" s="43" t="inlineStr">
        <is>
          <t>No action — tone correctly reflects mixed signals. The quiz discriminated well here.</t>
        </is>
      </c>
    </row>
    <row r="16" ht="34.5" customHeight="1" s="26">
      <c r="A16" s="43" t="inlineStr">
        <is>
          <t>Reality held strong at 0.774</t>
        </is>
      </c>
      <c r="B16" s="43" t="inlineStr">
        <is>
          <t>S3</t>
        </is>
      </c>
      <c r="C16" s="46" t="inlineStr">
        <is>
          <t>Low</t>
        </is>
      </c>
      <c r="D16" s="43" t="inlineStr">
        <is>
          <t>Positive signal</t>
        </is>
      </c>
      <c r="E16" s="43" t="inlineStr">
        <is>
          <t>Seeded at 0.9 by Reality &amp; Entertainment cluster. Quiz reduced by -0.126 (Black Mirror &gt; Queer Eye was the main negative push). Still the 6th strongest genre dimension. Reality cluster working as designed.</t>
        </is>
      </c>
      <c r="F16" s="43" t="inlineStr">
        <is>
          <t>No action — validates the Reality &amp; Entertainment cluster inclusion.</t>
        </is>
      </c>
    </row>
    <row r="17" ht="34.5" customHeight="1" s="26">
      <c r="A17" s="43" t="inlineStr">
        <is>
          <t>Popularity flipped from S2's -0.342 to +0.564</t>
        </is>
      </c>
      <c r="B17" s="43" t="inlineStr">
        <is>
          <t>S3</t>
        </is>
      </c>
      <c r="C17" s="46" t="inlineStr">
        <is>
          <t>Low</t>
        </is>
      </c>
      <c r="D17" s="43" t="inlineStr">
        <is>
          <t>Expected</t>
        </is>
      </c>
      <c r="E17" s="43" t="inlineStr">
        <is>
          <t>S2 had Cult &amp; Indie (-0.8) and Prestige (-0.4) driving niche. S3 has Reality &amp; Entertainment (+0.6) with no counter-signal. Quiz barely moved it (-0.036). Cluster signal dominated.</t>
        </is>
      </c>
      <c r="F17" s="43" t="inlineStr">
        <is>
          <t>No action — demonstrates clusters effectively differentiate on the popularity axis.</t>
        </is>
      </c>
    </row>
    <row r="18" ht="45.75" customHeight="1" s="26">
      <c r="A18" s="43" t="inlineStr">
        <is>
          <t>Intensity high but didn't cap (0.841)</t>
        </is>
      </c>
      <c r="B18" s="43" t="inlineStr">
        <is>
          <t>S4</t>
        </is>
      </c>
      <c r="C18" s="46" t="inlineStr">
        <is>
          <t>Low</t>
        </is>
      </c>
      <c r="D18" s="43" t="inlineStr">
        <is>
          <t>Positive signal</t>
        </is>
      </c>
      <c r="E18" s="43" t="inlineStr">
        <is>
          <t>Seed was 0.230. Quiz added +0.611. Dark Knight, LOTR, Peaky Blinders, Top Gun pushed up. Schitt's Creek and Paddington pulled back (-intensity). The push-pull kept it below ceiling. First session with Action &amp; Adrenaline cluster where intensity didn't cap.</t>
        </is>
      </c>
      <c r="F18" s="43" t="inlineStr">
        <is>
          <t>The lighter quiz picks (Schitt's Creek, Paddington) provided the counter-signal intensity needs. This supports the V3 pair rebalancing approach — pairs that offer genuine low-intensity alternatives work.</t>
        </is>
      </c>
    </row>
    <row r="19" ht="45.75" customHeight="1" s="26">
      <c r="A19" s="43" t="inlineStr">
        <is>
          <t>Pacing flipped to fast (+0.623)</t>
        </is>
      </c>
      <c r="B19" s="43" t="inlineStr">
        <is>
          <t>S4</t>
        </is>
      </c>
      <c r="C19" s="46" t="inlineStr">
        <is>
          <t>Low</t>
        </is>
      </c>
      <c r="D19" s="43" t="inlineStr">
        <is>
          <t>Positive signal</t>
        </is>
      </c>
      <c r="E19" s="43" t="inlineStr">
        <is>
          <t>First fast-paced profile. Dark Thrillers (+0.7) and Action &amp; Adrenaline (+0.9) cluster seeds drove it. Quiz reinforced via Stranger Things (+fast) and Top Gun. S1 was +1.0, S2 was -0.843, S3 was -0.284. Full range covered across sessions.</t>
        </is>
      </c>
      <c r="F19" s="43" t="inlineStr">
        <is>
          <t>No action — pacing axis working well across sessions, covering full spectrum.</t>
        </is>
      </c>
    </row>
    <row r="20" ht="57" customHeight="1" s="26">
      <c r="A20" s="43" t="inlineStr">
        <is>
          <t>Drama at 0.124 despite 3 clusters with drama signal</t>
        </is>
      </c>
      <c r="B20" s="43" t="inlineStr">
        <is>
          <t>S4</t>
        </is>
      </c>
      <c r="C20" s="44" t="inlineStr">
        <is>
          <t>Medium</t>
        </is>
      </c>
      <c r="D20" s="43" t="inlineStr">
        <is>
          <t>Drama weakness</t>
        </is>
      </c>
      <c r="E20" s="43" t="inlineStr">
        <is>
          <t>Dark Thrillers has no drama. Feel-Good (0.2), Rom-Coms (0.3), Epic Sci-Fi (none) contribute weakly. Seed was only 0.250. Then Schitt's Creek &gt; Squid Game reduced it (-0.126). Same pattern as S1: drama starts fragile and quiz easily pushes it down.</t>
        </is>
      </c>
      <c r="F20" s="43" t="inlineStr">
        <is>
          <t>Reinforces the S1 finding. The drama additions (Mind-Bending +0.3, History 0.5→0.6) only help when those specific clusters are selected. Consider adding drama:0.2 to Dark Thrillers — most dark thrillers (Se7en, Zodiac, Prisoners) are TMDb-tagged drama.</t>
        </is>
      </c>
    </row>
    <row r="21" ht="45.75" customHeight="1" s="26">
      <c r="A21" s="43" t="inlineStr">
        <is>
          <t>Thriller dropped to 0.348 from 0.600 seed</t>
        </is>
      </c>
      <c r="B21" s="43" t="inlineStr">
        <is>
          <t>S4</t>
        </is>
      </c>
      <c r="C21" s="46" t="inlineStr">
        <is>
          <t>Low</t>
        </is>
      </c>
      <c r="D21" s="43" t="inlineStr">
        <is>
          <t>Expected</t>
        </is>
      </c>
      <c r="E21" s="43" t="inlineStr">
        <is>
          <t>Despite Dark Thrillers being selected (thriller:0.9), the seed averaged to 0.600 across 5 clusters. Quiz then pushed it down via Schitt's Creek &gt; Squid Game (-0.126) and Paddington &gt; Parasite (-0.126). User's quiz picks favoured lighter content over thriller content.</t>
        </is>
      </c>
      <c r="F21" s="43" t="inlineStr">
        <is>
          <t>No action — quiz correctly identified that despite selecting Dark Thrillers as a cluster, this user's actual quiz preferences lean lighter. The system is working.</t>
        </is>
      </c>
    </row>
    <row r="22" ht="45.75" customHeight="1" s="26">
      <c r="A22" s="43" t="inlineStr">
        <is>
          <t>Family appeared at 0.210</t>
        </is>
      </c>
      <c r="B22" s="43" t="inlineStr">
        <is>
          <t>S4</t>
        </is>
      </c>
      <c r="C22" s="46" t="inlineStr">
        <is>
          <t>Low</t>
        </is>
      </c>
      <c r="D22" s="43" t="inlineStr">
        <is>
          <t>Quiz emergence</t>
        </is>
      </c>
      <c r="E22" s="43" t="inlineStr">
        <is>
          <t>No cluster seeds family (it was removed from the app). Paddington 2 pick added +0.210 via quiz delta. First time a non-cluster genre gained meaningful signal purely from quiz interaction.</t>
        </is>
      </c>
      <c r="F22" s="43" t="inlineStr">
        <is>
          <t>Interesting edge case. Family content was removed from the app, so this signal goes unused. Not harmful but worth noting — the vector can hold signal for genres the app doesn't surface.</t>
        </is>
      </c>
    </row>
    <row r="23" ht="57.45" customHeight="1" s="26">
      <c r="A23" s="43" t="inlineStr">
        <is>
          <t>Tone capped at +1.0 (raw 1.396)</t>
        </is>
      </c>
      <c r="B23" s="43" t="inlineStr">
        <is>
          <t>S5</t>
        </is>
      </c>
      <c r="C23" s="45" t="inlineStr">
        <is>
          <t>High</t>
        </is>
      </c>
      <c r="D23" s="43" t="inlineStr">
        <is>
          <t>Quiz inflation</t>
        </is>
      </c>
      <c r="E23" s="43" t="inlineStr">
        <is>
          <t>Seed was -0.067 (near neutral). Quiz pushed +1.462. 8 of 10 answers pushed tone positive (Mamma Mia!, Pride &amp; Prejudice, Spider-Verse, Superbad, Bridesmaids, Soul, The Office, Lion King). Only Breaking Bad countered. 0.396 of quiz signal lost to clamping — the strongest single-dimension push across all sessions.</t>
        </is>
      </c>
      <c r="F23" s="43" t="inlineStr">
        <is>
          <t>Tone now joins intensity as a dimension vulnerable to quiz inflation. Same root cause: when quiz pairs consistently offer light-vs-dark, a user who consistently picks light accumulates tone signal faster than the scale accommodates. V3 pair rebalancing should address tone alongside intensity.</t>
        </is>
      </c>
    </row>
    <row r="24" ht="46.25" customHeight="1" s="26">
      <c r="A24" s="43" t="inlineStr">
        <is>
          <t>Intensity went negative (-0.332)</t>
        </is>
      </c>
      <c r="B24" s="43" t="inlineStr">
        <is>
          <t>S5</t>
        </is>
      </c>
      <c r="C24" s="46" t="inlineStr">
        <is>
          <t>Low</t>
        </is>
      </c>
      <c r="D24" s="43" t="inlineStr">
        <is>
          <t>Positive signal</t>
        </is>
      </c>
      <c r="E24" s="43" t="inlineStr">
        <is>
          <t>First time intensity dropped below zero. Seed was +0.360. Quiz pushed -0.692. Mamma Mia!, Soul, Office, Lion King all drove intensity down. Only Breaking Bad countered. This user genuinely prefers low-intensity content — the vector reflects that accurately.</t>
        </is>
      </c>
      <c r="F24" s="43" t="inlineStr">
        <is>
          <t>No action — validates that intensity can move in both directions. The full range [-0.332 to 1.000] has been observed across 5 sessions.</t>
        </is>
      </c>
    </row>
    <row r="25" ht="68.65000000000001" customHeight="1" s="26">
      <c r="A25" s="43" t="inlineStr">
        <is>
          <t>Drama collapsed to 0.327 from 0.633 seed</t>
        </is>
      </c>
      <c r="B25" s="43" t="inlineStr">
        <is>
          <t>S5</t>
        </is>
      </c>
      <c r="C25" s="44" t="inlineStr">
        <is>
          <t>Medium</t>
        </is>
      </c>
      <c r="D25" s="43" t="inlineStr">
        <is>
          <t>Drama weakness</t>
        </is>
      </c>
      <c r="E25" s="43" t="inlineStr">
        <is>
          <t>3 clusters seeded drama: Cult &amp; Indie (0.3), Prestige (0.7), Heartfelt Drama (0.9) → averaged 0.633. Quiz pushed -0.306 via Superbad &gt; Shawshank, Soul &gt; Fight Club, The Office &gt; GoT. Despite having the strongest drama seed of any session, the quiz actively pulled it down. Drama is now 3 sessions out of 5 where it underperforms expectations (S1: 0.065, S4: 0.124, S5: 0.327).</t>
        </is>
      </c>
      <c r="F25" s="43" t="inlineStr">
        <is>
          <t>Persistent pattern. Drama underperforms because quiz pairs frequently pit drama against comedy/light content, and users who pick light options necessarily reduce drama. This may need a quiz-level fix: pairs that test drama sub-types (prestige drama vs indie drama) rather than drama vs comedy.</t>
        </is>
      </c>
    </row>
    <row r="26" ht="46.25" customHeight="1" s="26">
      <c r="A26" s="43" t="inlineStr">
        <is>
          <t>Comedy exploded (+0.594 delta, largest genre shift in any session)</t>
        </is>
      </c>
      <c r="B26" s="43" t="inlineStr">
        <is>
          <t>S5</t>
        </is>
      </c>
      <c r="C26" s="46" t="inlineStr">
        <is>
          <t>Low</t>
        </is>
      </c>
      <c r="D26" s="43" t="inlineStr">
        <is>
          <t>Expected</t>
        </is>
      </c>
      <c r="E26" s="43" t="inlineStr">
        <is>
          <t>Seed was 0.200. Quiz added +0.594 — the largest single-genre quiz delta across all 5 sessions. Superbad, Bridesmaids, Office picks all boosted comedy. Spider-Verse also carries comedy signal. User clearly self-selected into comedy via quiz answers.</t>
        </is>
      </c>
      <c r="F26" s="43" t="inlineStr">
        <is>
          <t>No action — comedy correctly captured as the dominant genre preference. The quiz is doing its job differentiating within the cluster seed.</t>
        </is>
      </c>
    </row>
    <row r="27" ht="46.25" customHeight="1" s="26">
      <c r="A27" s="43" t="inlineStr">
        <is>
          <t>Musical appeared at 0.300</t>
        </is>
      </c>
      <c r="B27" s="43" t="inlineStr">
        <is>
          <t>S5</t>
        </is>
      </c>
      <c r="C27" s="46" t="inlineStr">
        <is>
          <t>Low</t>
        </is>
      </c>
      <c r="D27" s="43" t="inlineStr">
        <is>
          <t>Quiz emergence</t>
        </is>
      </c>
      <c r="E27" s="43" t="inlineStr">
        <is>
          <t>No cluster seeds musical. Mamma Mia! over Dark Knight is the only quiz pair that generates musical signal. First time this genre has appeared across all sessions. Second instance of quiz-emergent genre (after family in S4).</t>
        </is>
      </c>
      <c r="F27" s="43" t="inlineStr">
        <is>
          <t>No action — validates that the quiz can surface genres not covered by clusters. Addresses the 'music/western coverage gap' concern from the spec (Section 10.3).</t>
        </is>
      </c>
    </row>
    <row r="28" ht="46.25" customHeight="1" s="26">
      <c r="A28" s="43" t="inlineStr">
        <is>
          <t>Popularity very niche at -0.540</t>
        </is>
      </c>
      <c r="B28" s="43" t="inlineStr">
        <is>
          <t>S5</t>
        </is>
      </c>
      <c r="C28" s="46" t="inlineStr">
        <is>
          <t>Low</t>
        </is>
      </c>
      <c r="D28" s="43" t="inlineStr">
        <is>
          <t>Expected</t>
        </is>
      </c>
      <c r="E28" s="43" t="inlineStr">
        <is>
          <t>Seed was -0.600 (Cult &amp; Indie -0.8, Prestige -0.4). Quiz barely moved it (+0.060). Strongest niche signal across all sessions. Cluster signal dominated — the popularity axis is primarily cluster-driven, not quiz-driven.</t>
        </is>
      </c>
      <c r="F28" s="43" t="inlineStr">
        <is>
          <t>No action — confirms popularity is effectively a cluster-level preference. Quiz pairs don't meaningfully shift 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6" min="1" max="1"/>
    <col width="12" customWidth="1" style="26" min="2" max="2"/>
    <col width="10" customWidth="1" style="26" min="3" max="3"/>
    <col width="32" customWidth="1" style="26" min="4" max="4"/>
    <col width="45" customWidth="1" style="26" min="5" max="5"/>
    <col width="38" customWidth="1" style="26" min="6" max="6"/>
    <col width="8" customWidth="1" style="26" min="7" max="7"/>
    <col width="38" customWidth="1" style="26" min="8" max="8"/>
    <col width="8" customWidth="1" style="26" min="9" max="9"/>
    <col width="38" customWidth="1" style="26" min="10" max="10"/>
    <col width="8" customWidth="1" style="26" min="11" max="11"/>
    <col width="38" customWidth="1" style="26" min="12" max="12"/>
    <col width="8" customWidth="1" style="26" min="13" max="13"/>
    <col width="38" customWidth="1" style="26" min="14" max="14"/>
    <col width="8" customWidth="1" style="26" min="15" max="15"/>
    <col width="38" customWidth="1" style="26" min="16" max="16"/>
    <col width="8" customWidth="1" style="26" min="17" max="17"/>
    <col width="38" customWidth="1" style="26" min="18" max="18"/>
    <col width="8" customWidth="1" style="26" min="19" max="19"/>
    <col width="38" customWidth="1" style="26" min="20" max="20"/>
    <col width="8" customWidth="1" style="26" min="21" max="21"/>
    <col width="38" customWidth="1" style="26" min="22" max="22"/>
    <col width="8" customWidth="1" style="26" min="23" max="23"/>
    <col width="38" customWidth="1" style="26" min="24" max="24"/>
    <col width="8" customWidth="1" style="26" min="25" max="25"/>
    <col width="10" customWidth="1" style="26" min="26" max="26"/>
    <col width="10" customWidth="1" style="26" min="27" max="27"/>
    <col width="80" customWidth="1" style="26" min="28" max="28"/>
  </cols>
  <sheetData>
    <row r="1">
      <c r="A1" s="47" t="inlineStr">
        <is>
          <t>Session</t>
        </is>
      </c>
      <c r="B1" s="47" t="inlineStr">
        <is>
          <t>Date</t>
        </is>
      </c>
      <c r="C1" s="47" t="inlineStr">
        <is>
          <t>Test Type</t>
        </is>
      </c>
      <c r="D1" s="47" t="inlineStr">
        <is>
          <t>Purpose</t>
        </is>
      </c>
      <c r="E1" s="47" t="inlineStr">
        <is>
          <t>Clusters</t>
        </is>
      </c>
      <c r="F1" s="47" t="inlineStr">
        <is>
          <t>Q1 Pair</t>
        </is>
      </c>
      <c r="G1" s="47" t="inlineStr">
        <is>
          <t>Q1 Pick</t>
        </is>
      </c>
      <c r="H1" s="47" t="inlineStr">
        <is>
          <t>Q2 Pair</t>
        </is>
      </c>
      <c r="I1" s="47" t="inlineStr">
        <is>
          <t>Q2 Pick</t>
        </is>
      </c>
      <c r="J1" s="47" t="inlineStr">
        <is>
          <t>Q3 Pair</t>
        </is>
      </c>
      <c r="K1" s="47" t="inlineStr">
        <is>
          <t>Q3 Pick</t>
        </is>
      </c>
      <c r="L1" s="47" t="inlineStr">
        <is>
          <t>Q4 Pair</t>
        </is>
      </c>
      <c r="M1" s="47" t="inlineStr">
        <is>
          <t>Q4 Pick</t>
        </is>
      </c>
      <c r="N1" s="47" t="inlineStr">
        <is>
          <t>Q5 Pair</t>
        </is>
      </c>
      <c r="O1" s="47" t="inlineStr">
        <is>
          <t>Q5 Pick</t>
        </is>
      </c>
      <c r="P1" s="47" t="inlineStr">
        <is>
          <t>Q6 Pair</t>
        </is>
      </c>
      <c r="Q1" s="47" t="inlineStr">
        <is>
          <t>Q6 Pick</t>
        </is>
      </c>
      <c r="R1" s="47" t="inlineStr">
        <is>
          <t>Q7 Pair</t>
        </is>
      </c>
      <c r="S1" s="47" t="inlineStr">
        <is>
          <t>Q7 Pick</t>
        </is>
      </c>
      <c r="T1" s="47" t="inlineStr">
        <is>
          <t>Q8 Pair</t>
        </is>
      </c>
      <c r="U1" s="47" t="inlineStr">
        <is>
          <t>Q8 Pick</t>
        </is>
      </c>
      <c r="V1" s="47" t="inlineStr">
        <is>
          <t>Q9 Pair</t>
        </is>
      </c>
      <c r="W1" s="47" t="inlineStr">
        <is>
          <t>Q9 Pick</t>
        </is>
      </c>
      <c r="X1" s="47" t="inlineStr">
        <is>
          <t>Q10 Pair</t>
        </is>
      </c>
      <c r="Y1" s="47" t="inlineStr">
        <is>
          <t>Q10 Pick</t>
        </is>
      </c>
      <c r="Z1" s="47" t="inlineStr">
        <is>
          <t>Meta Caps</t>
        </is>
      </c>
      <c r="AA1" s="47" t="inlineStr">
        <is>
          <t>Scaling Activations</t>
        </is>
      </c>
      <c r="AB1" s="47" t="inlineStr">
        <is>
          <t>Notes</t>
        </is>
      </c>
    </row>
    <row r="2">
      <c r="A2" s="48" t="inlineStr">
        <is>
          <t>S1</t>
        </is>
      </c>
      <c r="B2" s="48" t="inlineStr">
        <is>
          <t>18/02/2026</t>
        </is>
      </c>
      <c r="C2" s="48" t="inlineStr">
        <is>
          <t>Replay</t>
        </is>
      </c>
      <c r="D2" s="48" t="inlineStr">
        <is>
          <t>Replay original S1 (dark/intense)</t>
        </is>
      </c>
      <c r="E2" s="48" t="inlineStr">
        <is>
          <t>action-adrenaline, epic-scifi-fantasy, horror-supernatural</t>
        </is>
      </c>
      <c r="F2" s="48" t="inlineStr">
        <is>
          <t>The Dark Knight vs Mamma Mia!</t>
        </is>
      </c>
      <c r="G2" s="48" t="inlineStr">
        <is>
          <t>A</t>
        </is>
      </c>
      <c r="H2" s="48" t="inlineStr">
        <is>
          <t>Inception vs Pride &amp; Prejudice</t>
        </is>
      </c>
      <c r="I2" s="48" t="inlineStr">
        <is>
          <t>A</t>
        </is>
      </c>
      <c r="J2" s="48" t="inlineStr">
        <is>
          <t>Stranger Things vs The Crown</t>
        </is>
      </c>
      <c r="K2" s="48" t="inlineStr">
        <is>
          <t>A</t>
        </is>
      </c>
      <c r="L2" s="48" t="inlineStr">
        <is>
          <t>The Lord of the Rings: The Fellowship of the Ring vs Harry Potter and the Philosopher's Stone</t>
        </is>
      </c>
      <c r="M2" s="48" t="inlineStr">
        <is>
          <t>A</t>
        </is>
      </c>
      <c r="N2" s="48" t="inlineStr">
        <is>
          <t>Jaws vs The Grand Budapest Hotel</t>
        </is>
      </c>
      <c r="O2" s="48" t="inlineStr">
        <is>
          <t>A</t>
        </is>
      </c>
      <c r="P2" s="48" t="inlineStr">
        <is>
          <t>Squid Game vs Schitt's Creek</t>
        </is>
      </c>
      <c r="Q2" s="48" t="inlineStr">
        <is>
          <t>A</t>
        </is>
      </c>
      <c r="R2" s="48" t="inlineStr">
        <is>
          <t>Parasite vs Paddington 2</t>
        </is>
      </c>
      <c r="S2" s="48" t="inlineStr">
        <is>
          <t>A</t>
        </is>
      </c>
      <c r="T2" s="48" t="inlineStr">
        <is>
          <t>Top Gun: Maverick vs The Lion King</t>
        </is>
      </c>
      <c r="U2" s="48" t="inlineStr">
        <is>
          <t>B</t>
        </is>
      </c>
      <c r="V2" s="48" t="inlineStr">
        <is>
          <t>Pacific Rim vs In the Mood for Love</t>
        </is>
      </c>
      <c r="W2" s="48" t="inlineStr">
        <is>
          <t>A</t>
        </is>
      </c>
      <c r="X2" s="48" t="inlineStr">
        <is>
          <t>The Wolf of Wall Street vs Amélie</t>
        </is>
      </c>
      <c r="Y2" s="48" t="inlineStr">
        <is>
          <t>A</t>
        </is>
      </c>
      <c r="Z2" s="48" t="n">
        <v>0</v>
      </c>
      <c r="AA2" s="48" t="n">
        <v>14</v>
      </c>
      <c r="AB2" s="48" t="inlineStr">
        <is>
          <t>Zero meta caps. intensity=0.956, pacing=0.984 (scaling held). 14 scaling activations.</t>
        </is>
      </c>
    </row>
    <row r="3">
      <c r="A3" s="48" t="inlineStr">
        <is>
          <t>S2</t>
        </is>
      </c>
      <c r="B3" s="48" t="inlineStr">
        <is>
          <t>18/02/2026</t>
        </is>
      </c>
      <c r="C3" s="48" t="inlineStr">
        <is>
          <t>Replay</t>
        </is>
      </c>
      <c r="D3" s="48" t="inlineStr">
        <is>
          <t>Replay original S2 (lighter tone)</t>
        </is>
      </c>
      <c r="E3" s="48" t="inlineStr">
        <is>
          <t>rom-coms-love-stories, prestige-award-winners, cult-indie</t>
        </is>
      </c>
      <c r="F3" s="48" t="inlineStr">
        <is>
          <t>The Dark Knight vs Mamma Mia!</t>
        </is>
      </c>
      <c r="G3" s="48" t="inlineStr">
        <is>
          <t>B</t>
        </is>
      </c>
      <c r="H3" s="48" t="inlineStr">
        <is>
          <t>Inception vs Pride &amp; Prejudice</t>
        </is>
      </c>
      <c r="I3" s="48" t="inlineStr">
        <is>
          <t>B</t>
        </is>
      </c>
      <c r="J3" s="48" t="inlineStr">
        <is>
          <t>Stranger Things vs The Crown</t>
        </is>
      </c>
      <c r="K3" s="48" t="inlineStr">
        <is>
          <t>B</t>
        </is>
      </c>
      <c r="L3" s="48" t="inlineStr">
        <is>
          <t>The Shawshank Redemption vs Superbad</t>
        </is>
      </c>
      <c r="M3" s="48" t="inlineStr">
        <is>
          <t>A</t>
        </is>
      </c>
      <c r="N3" s="48" t="inlineStr">
        <is>
          <t>Spider-Man: Into the Spider-Verse vs Spirited Away</t>
        </is>
      </c>
      <c r="O3" s="48" t="inlineStr">
        <is>
          <t>B</t>
        </is>
      </c>
      <c r="P3" s="48" t="inlineStr">
        <is>
          <t>Breaking Bad vs Friends</t>
        </is>
      </c>
      <c r="Q3" s="48" t="inlineStr">
        <is>
          <t>A</t>
        </is>
      </c>
      <c r="R3" s="48" t="inlineStr">
        <is>
          <t>Squid Game vs Schitt's Creek</t>
        </is>
      </c>
      <c r="S3" s="48" t="inlineStr">
        <is>
          <t>B</t>
        </is>
      </c>
      <c r="T3" s="48" t="inlineStr">
        <is>
          <t>Black Mirror vs Queer Eye</t>
        </is>
      </c>
      <c r="U3" s="48" t="inlineStr">
        <is>
          <t>A</t>
        </is>
      </c>
      <c r="V3" s="48" t="inlineStr">
        <is>
          <t>Game of Thrones vs The Office</t>
        </is>
      </c>
      <c r="W3" s="48" t="inlineStr">
        <is>
          <t>A</t>
        </is>
      </c>
      <c r="X3" s="48" t="inlineStr">
        <is>
          <t>Vikings vs The Big Bang Theory</t>
        </is>
      </c>
      <c r="Y3" s="48" t="inlineStr">
        <is>
          <t>B</t>
        </is>
      </c>
      <c r="Z3" s="48" t="n">
        <v>0</v>
      </c>
      <c r="AA3" s="48" t="n">
        <v>4</v>
      </c>
      <c r="AB3" s="48" t="inlineStr">
        <is>
          <t>Zero meta caps. pacing=-0.879 (scaled, was -1.0 pre-scaling). popularity=-0.666.</t>
        </is>
      </c>
    </row>
    <row r="4">
      <c r="A4" s="48" t="inlineStr">
        <is>
          <t>S3</t>
        </is>
      </c>
      <c r="B4" s="48" t="inlineStr">
        <is>
          <t>18/02/2026</t>
        </is>
      </c>
      <c r="C4" s="48" t="inlineStr">
        <is>
          <t>Replay</t>
        </is>
      </c>
      <c r="D4" s="48" t="inlineStr">
        <is>
          <t>Replay original S3 (broad mix)</t>
        </is>
      </c>
      <c r="E4" s="48" t="inlineStr">
        <is>
          <t>dark-thrillers, action-adrenaline, true-crime-real-stories</t>
        </is>
      </c>
      <c r="F4" s="48" t="inlineStr">
        <is>
          <t>The Dark Knight vs Mamma Mia!</t>
        </is>
      </c>
      <c r="G4" s="48" t="inlineStr">
        <is>
          <t>A</t>
        </is>
      </c>
      <c r="H4" s="48" t="inlineStr">
        <is>
          <t>Inception vs Pride &amp; Prejudice</t>
        </is>
      </c>
      <c r="I4" s="48" t="inlineStr">
        <is>
          <t>A</t>
        </is>
      </c>
      <c r="J4" s="48" t="inlineStr">
        <is>
          <t>Stranger Things vs The Crown</t>
        </is>
      </c>
      <c r="K4" s="48" t="inlineStr">
        <is>
          <t>A</t>
        </is>
      </c>
      <c r="L4" s="48" t="inlineStr">
        <is>
          <t>Planet Earth II vs Making a Murderer</t>
        </is>
      </c>
      <c r="M4" s="48" t="inlineStr">
        <is>
          <t>B</t>
        </is>
      </c>
      <c r="N4" s="48" t="inlineStr">
        <is>
          <t>Spider-Man: Into the Spider-Verse vs Spirited Away</t>
        </is>
      </c>
      <c r="O4" s="48" t="inlineStr">
        <is>
          <t>A</t>
        </is>
      </c>
      <c r="P4" s="48" t="inlineStr">
        <is>
          <t>Squid Game vs Schitt's Creek</t>
        </is>
      </c>
      <c r="Q4" s="48" t="inlineStr">
        <is>
          <t>A</t>
        </is>
      </c>
      <c r="R4" s="48" t="inlineStr">
        <is>
          <t>Parasite vs Paddington 2</t>
        </is>
      </c>
      <c r="S4" s="48" t="inlineStr">
        <is>
          <t>A</t>
        </is>
      </c>
      <c r="T4" s="48" t="inlineStr">
        <is>
          <t>Top Gun: Maverick vs The Lion King</t>
        </is>
      </c>
      <c r="U4" s="48" t="inlineStr">
        <is>
          <t>B</t>
        </is>
      </c>
      <c r="V4" s="48" t="inlineStr">
        <is>
          <t>Pacific Rim vs In the Mood for Love</t>
        </is>
      </c>
      <c r="W4" s="48" t="inlineStr">
        <is>
          <t>A</t>
        </is>
      </c>
      <c r="X4" s="48" t="inlineStr">
        <is>
          <t>The Wolf of Wall Street vs Amélie</t>
        </is>
      </c>
      <c r="Y4" s="48" t="inlineStr">
        <is>
          <t>A</t>
        </is>
      </c>
      <c r="Z4" s="48" t="n">
        <v>0</v>
      </c>
      <c r="AA4" s="48" t="n">
        <v>14</v>
      </c>
      <c r="AB4" s="48" t="inlineStr">
        <is>
          <t>Zero meta caps. intensity=0.955, pacing=0.995, era=0.854. All scaling held.</t>
        </is>
      </c>
    </row>
    <row r="5">
      <c r="A5" s="48" t="inlineStr">
        <is>
          <t>S4</t>
        </is>
      </c>
      <c r="B5" s="48" t="inlineStr">
        <is>
          <t>18/02/2026</t>
        </is>
      </c>
      <c r="C5" s="48" t="inlineStr">
        <is>
          <t>Replay</t>
        </is>
      </c>
      <c r="D5" s="48" t="inlineStr">
        <is>
          <t>Replay original S4 (entertainment-forward)</t>
        </is>
      </c>
      <c r="E5" s="48" t="inlineStr">
        <is>
          <t>feel-good-funny, anime-animation, epic-scifi-fantasy</t>
        </is>
      </c>
      <c r="F5" s="48" t="inlineStr">
        <is>
          <t>The Dark Knight vs Mamma Mia!</t>
        </is>
      </c>
      <c r="G5" s="48" t="inlineStr">
        <is>
          <t>A</t>
        </is>
      </c>
      <c r="H5" s="48" t="inlineStr">
        <is>
          <t>Inception vs Pride &amp; Prejudice</t>
        </is>
      </c>
      <c r="I5" s="48" t="inlineStr">
        <is>
          <t>A</t>
        </is>
      </c>
      <c r="J5" s="48" t="inlineStr">
        <is>
          <t>Stranger Things vs The Crown</t>
        </is>
      </c>
      <c r="K5" s="48" t="inlineStr">
        <is>
          <t>A</t>
        </is>
      </c>
      <c r="L5" s="48" t="inlineStr">
        <is>
          <t>Spider-Man: Into the Spider-Verse vs Spirited Away</t>
        </is>
      </c>
      <c r="M5" s="48" t="inlineStr">
        <is>
          <t>A</t>
        </is>
      </c>
      <c r="N5" s="48" t="inlineStr">
        <is>
          <t>The Shawshank Redemption vs Superbad</t>
        </is>
      </c>
      <c r="O5" s="48" t="inlineStr">
        <is>
          <t>A</t>
        </is>
      </c>
      <c r="P5" s="48" t="inlineStr">
        <is>
          <t>Pacific Rim vs In the Mood for Love</t>
        </is>
      </c>
      <c r="Q5" s="48" t="inlineStr">
        <is>
          <t>B</t>
        </is>
      </c>
      <c r="R5" s="48" t="inlineStr">
        <is>
          <t>Squid Game vs Schitt's Creek</t>
        </is>
      </c>
      <c r="S5" s="48" t="inlineStr">
        <is>
          <t>A</t>
        </is>
      </c>
      <c r="T5" s="48" t="inlineStr">
        <is>
          <t>12 Angry Men vs Killers of the Flower Moon</t>
        </is>
      </c>
      <c r="U5" s="48" t="inlineStr">
        <is>
          <t>A</t>
        </is>
      </c>
      <c r="V5" s="48" t="inlineStr">
        <is>
          <t>Top Gun: Maverick vs The Lion King</t>
        </is>
      </c>
      <c r="W5" s="48" t="inlineStr">
        <is>
          <t>A</t>
        </is>
      </c>
      <c r="X5" s="48" t="inlineStr">
        <is>
          <t>The Wolf of Wall Street vs Amélie</t>
        </is>
      </c>
      <c r="Y5" s="48" t="inlineStr">
        <is>
          <t>B</t>
        </is>
      </c>
      <c r="Z5" s="48" t="n">
        <v>0</v>
      </c>
      <c r="AA5" s="48" t="n">
        <v>5</v>
      </c>
      <c r="AB5" s="48" t="inlineStr">
        <is>
          <t>Zero meta caps. intensity=0.828, era=0.524. Action genre capped at 1.0 (genre, expected).</t>
        </is>
      </c>
    </row>
    <row r="6">
      <c r="A6" s="48" t="inlineStr">
        <is>
          <t>S5</t>
        </is>
      </c>
      <c r="B6" s="48" t="inlineStr">
        <is>
          <t>18/02/2026</t>
        </is>
      </c>
      <c r="C6" s="48" t="inlineStr">
        <is>
          <t>Replay</t>
        </is>
      </c>
      <c r="D6" s="48" t="inlineStr">
        <is>
          <t>Replay original S5 (artsy/niche)</t>
        </is>
      </c>
      <c r="E6" s="48" t="inlineStr">
        <is>
          <t>feel-good-funny, rom-coms-love-stories, reality-entertainment</t>
        </is>
      </c>
      <c r="F6" s="48" t="inlineStr">
        <is>
          <t>The Dark Knight vs Mamma Mia!</t>
        </is>
      </c>
      <c r="G6" s="48" t="inlineStr">
        <is>
          <t>B</t>
        </is>
      </c>
      <c r="H6" s="48" t="inlineStr">
        <is>
          <t>Inception vs Pride &amp; Prejudice</t>
        </is>
      </c>
      <c r="I6" s="48" t="inlineStr">
        <is>
          <t>B</t>
        </is>
      </c>
      <c r="J6" s="48" t="inlineStr">
        <is>
          <t>Stranger Things vs The Crown</t>
        </is>
      </c>
      <c r="K6" s="48" t="inlineStr">
        <is>
          <t>A</t>
        </is>
      </c>
      <c r="L6" s="48" t="inlineStr">
        <is>
          <t>The Shawshank Redemption vs Superbad</t>
        </is>
      </c>
      <c r="M6" s="48" t="inlineStr">
        <is>
          <t>A</t>
        </is>
      </c>
      <c r="N6" s="48" t="inlineStr">
        <is>
          <t>The Great British Bake Off vs RuPaul's Drag Race</t>
        </is>
      </c>
      <c r="O6" s="48" t="inlineStr">
        <is>
          <t>B</t>
        </is>
      </c>
      <c r="P6" s="48" t="inlineStr">
        <is>
          <t>Peaky Blinders vs Ted Lasso</t>
        </is>
      </c>
      <c r="Q6" s="48" t="inlineStr">
        <is>
          <t>A</t>
        </is>
      </c>
      <c r="R6" s="48" t="inlineStr">
        <is>
          <t>12 Angry Men vs Killers of the Flower Moon</t>
        </is>
      </c>
      <c r="S6" s="48" t="inlineStr">
        <is>
          <t>B</t>
        </is>
      </c>
      <c r="T6" s="48" t="inlineStr">
        <is>
          <t>Breaking Bad vs Friends</t>
        </is>
      </c>
      <c r="U6" s="48" t="inlineStr">
        <is>
          <t>A</t>
        </is>
      </c>
      <c r="V6" s="48" t="inlineStr">
        <is>
          <t>Squid Game vs Schitt's Creek</t>
        </is>
      </c>
      <c r="W6" s="48" t="inlineStr">
        <is>
          <t>B</t>
        </is>
      </c>
      <c r="X6" s="48" t="inlineStr">
        <is>
          <t>Vikings vs The Big Bang Theory</t>
        </is>
      </c>
      <c r="Y6" s="48" t="inlineStr">
        <is>
          <t>B</t>
        </is>
      </c>
      <c r="Z6" s="48" t="n">
        <v>0</v>
      </c>
      <c r="AA6" s="48" t="n">
        <v>6</v>
      </c>
      <c r="AB6" s="48" t="inlineStr">
        <is>
          <t>Zero meta caps. tone=0.845 (was 1.0 pre-scaling). comedy dropped to 0.135.</t>
        </is>
      </c>
    </row>
    <row r="7">
      <c r="A7" s="48" t="inlineStr">
        <is>
          <t>S6</t>
        </is>
      </c>
      <c r="B7" s="48" t="inlineStr">
        <is>
          <t>18/02/2026</t>
        </is>
      </c>
      <c r="C7" s="48" t="inlineStr">
        <is>
          <t>Edge case</t>
        </is>
      </c>
      <c r="D7" s="48" t="inlineStr">
        <is>
          <t>All-light picks (B on every question)</t>
        </is>
      </c>
      <c r="E7" s="48" t="inlineStr">
        <is>
          <t>feel-good-funny, rom-coms-love-stories, anime-animation</t>
        </is>
      </c>
      <c r="F7" s="48" t="inlineStr">
        <is>
          <t>The Dark Knight vs Mamma Mia!</t>
        </is>
      </c>
      <c r="G7" s="48" t="inlineStr">
        <is>
          <t>B</t>
        </is>
      </c>
      <c r="H7" s="48" t="inlineStr">
        <is>
          <t>Inception vs Pride &amp; Prejudice</t>
        </is>
      </c>
      <c r="I7" s="48" t="inlineStr">
        <is>
          <t>B</t>
        </is>
      </c>
      <c r="J7" s="48" t="inlineStr">
        <is>
          <t>Stranger Things vs The Crown</t>
        </is>
      </c>
      <c r="K7" s="48" t="inlineStr">
        <is>
          <t>B</t>
        </is>
      </c>
      <c r="L7" s="48" t="inlineStr">
        <is>
          <t>Spider-Man: Into the Spider-Verse vs Spirited Away</t>
        </is>
      </c>
      <c r="M7" s="48" t="inlineStr">
        <is>
          <t>B</t>
        </is>
      </c>
      <c r="N7" s="48" t="inlineStr">
        <is>
          <t>The Shawshank Redemption vs Superbad</t>
        </is>
      </c>
      <c r="O7" s="48" t="inlineStr">
        <is>
          <t>B</t>
        </is>
      </c>
      <c r="P7" s="48" t="inlineStr">
        <is>
          <t>Pacific Rim vs In the Mood for Love</t>
        </is>
      </c>
      <c r="Q7" s="48" t="inlineStr">
        <is>
          <t>B</t>
        </is>
      </c>
      <c r="R7" s="48" t="inlineStr">
        <is>
          <t>The Sixth Sense vs John Wick</t>
        </is>
      </c>
      <c r="S7" s="48" t="inlineStr">
        <is>
          <t>B</t>
        </is>
      </c>
      <c r="T7" s="48" t="inlineStr">
        <is>
          <t>Bridesmaids vs Jane Eyre</t>
        </is>
      </c>
      <c r="U7" s="48" t="inlineStr">
        <is>
          <t>B</t>
        </is>
      </c>
      <c r="V7" s="48" t="inlineStr">
        <is>
          <t>Lost in Translation vs Ice Age</t>
        </is>
      </c>
      <c r="W7" s="48" t="inlineStr">
        <is>
          <t>B</t>
        </is>
      </c>
      <c r="X7" s="48" t="inlineStr">
        <is>
          <t>Blade Runner 2049 vs Star Wars: A New Hope</t>
        </is>
      </c>
      <c r="Y7" s="48" t="inlineStr">
        <is>
          <t>B</t>
        </is>
      </c>
      <c r="Z7" s="48" t="n">
        <v>0</v>
      </c>
      <c r="AA7" s="48" t="n">
        <v>3</v>
      </c>
      <c r="AB7" s="48" t="inlineStr">
        <is>
          <t>tone=+0.903, intensity=-0.484. Deep negative without boundary hit.</t>
        </is>
      </c>
    </row>
    <row r="8">
      <c r="A8" s="48" t="inlineStr">
        <is>
          <t>S7</t>
        </is>
      </c>
      <c r="B8" s="48" t="inlineStr">
        <is>
          <t>18/02/2026</t>
        </is>
      </c>
      <c r="C8" s="48" t="inlineStr">
        <is>
          <t>Edge case</t>
        </is>
      </c>
      <c r="D8" s="48" t="inlineStr">
        <is>
          <t>Mixed/alternating picks</t>
        </is>
      </c>
      <c r="E8" s="48" t="inlineStr">
        <is>
          <t>action-adrenaline, rom-coms-love-stories, true-crime-real-stories</t>
        </is>
      </c>
      <c r="F8" s="48" t="inlineStr">
        <is>
          <t>The Dark Knight vs Mamma Mia!</t>
        </is>
      </c>
      <c r="G8" s="48" t="inlineStr">
        <is>
          <t>A</t>
        </is>
      </c>
      <c r="H8" s="48" t="inlineStr">
        <is>
          <t>Inception vs Pride &amp; Prejudice</t>
        </is>
      </c>
      <c r="I8" s="48" t="inlineStr">
        <is>
          <t>B</t>
        </is>
      </c>
      <c r="J8" s="48" t="inlineStr">
        <is>
          <t>Stranger Things vs The Crown</t>
        </is>
      </c>
      <c r="K8" s="48" t="inlineStr">
        <is>
          <t>A</t>
        </is>
      </c>
      <c r="L8" s="48" t="inlineStr">
        <is>
          <t>Planet Earth II vs Making a Murderer</t>
        </is>
      </c>
      <c r="M8" s="48" t="inlineStr">
        <is>
          <t>B</t>
        </is>
      </c>
      <c r="N8" s="48" t="inlineStr">
        <is>
          <t>Spider-Man: Into the Spider-Verse vs Spirited Away</t>
        </is>
      </c>
      <c r="O8" s="48" t="inlineStr">
        <is>
          <t>A</t>
        </is>
      </c>
      <c r="P8" s="48" t="inlineStr">
        <is>
          <t>The Wolf of Wall Street vs Amélie</t>
        </is>
      </c>
      <c r="Q8" s="48" t="inlineStr">
        <is>
          <t>B</t>
        </is>
      </c>
      <c r="R8" s="48" t="inlineStr">
        <is>
          <t>Breaking Bad vs Friends</t>
        </is>
      </c>
      <c r="S8" s="48" t="inlineStr">
        <is>
          <t>A</t>
        </is>
      </c>
      <c r="T8" s="48" t="inlineStr">
        <is>
          <t>Peaky Blinders vs Ted Lasso</t>
        </is>
      </c>
      <c r="U8" s="48" t="inlineStr">
        <is>
          <t>B</t>
        </is>
      </c>
      <c r="V8" s="48" t="inlineStr">
        <is>
          <t>Top Gun: Maverick vs The Lion King</t>
        </is>
      </c>
      <c r="W8" s="48" t="inlineStr">
        <is>
          <t>A</t>
        </is>
      </c>
      <c r="X8" s="48" t="inlineStr">
        <is>
          <t>Pacific Rim vs In the Mood for Love</t>
        </is>
      </c>
      <c r="Y8" s="48" t="inlineStr">
        <is>
          <t>B</t>
        </is>
      </c>
      <c r="Z8" s="48" t="n">
        <v>0</v>
      </c>
      <c r="AA8" s="48" t="n">
        <v>5</v>
      </c>
      <c r="AB8" s="48" t="inlineStr">
        <is>
          <t>5 scaling activations (spec expected ≤3). intensity=0.779. Alternating still pushes meta dims.</t>
        </is>
      </c>
    </row>
    <row r="9">
      <c r="A9" s="48" t="inlineStr">
        <is>
          <t>S8</t>
        </is>
      </c>
      <c r="B9" s="48" t="inlineStr">
        <is>
          <t>18/02/2026</t>
        </is>
      </c>
      <c r="C9" s="48" t="inlineStr">
        <is>
          <t>Edge case</t>
        </is>
      </c>
      <c r="D9" s="48" t="inlineStr">
        <is>
          <t>7× Both answers (max Both)</t>
        </is>
      </c>
      <c r="E9" s="48" t="inlineStr">
        <is>
          <t>dark-thrillers, feel-good-funny, epic-scifi-fantasy</t>
        </is>
      </c>
      <c r="F9" s="48" t="inlineStr">
        <is>
          <t>The Dark Knight vs Mamma Mia!</t>
        </is>
      </c>
      <c r="G9" s="48" t="inlineStr">
        <is>
          <t>both</t>
        </is>
      </c>
      <c r="H9" s="48" t="inlineStr">
        <is>
          <t>Inception vs Pride &amp; Prejudice</t>
        </is>
      </c>
      <c r="I9" s="48" t="inlineStr">
        <is>
          <t>both</t>
        </is>
      </c>
      <c r="J9" s="48" t="inlineStr">
        <is>
          <t>Stranger Things vs The Crown</t>
        </is>
      </c>
      <c r="K9" s="48" t="inlineStr">
        <is>
          <t>both</t>
        </is>
      </c>
      <c r="L9" s="48" t="inlineStr">
        <is>
          <t>The Shawshank Redemption vs Superbad</t>
        </is>
      </c>
      <c r="M9" s="48" t="inlineStr">
        <is>
          <t>both</t>
        </is>
      </c>
      <c r="N9" s="48" t="inlineStr">
        <is>
          <t>The Lord of the Rings: The Fellowship of the Ring vs Harry Potter and the Philosopher's Stone</t>
        </is>
      </c>
      <c r="O9" s="48" t="inlineStr">
        <is>
          <t>both</t>
        </is>
      </c>
      <c r="P9" s="48" t="inlineStr">
        <is>
          <t>Peaky Blinders vs Ted Lasso</t>
        </is>
      </c>
      <c r="Q9" s="48" t="inlineStr">
        <is>
          <t>both</t>
        </is>
      </c>
      <c r="R9" s="48" t="inlineStr">
        <is>
          <t>Bridesmaids vs Jane Eyre</t>
        </is>
      </c>
      <c r="S9" s="48" t="inlineStr">
        <is>
          <t>both</t>
        </is>
      </c>
      <c r="T9" s="48" t="inlineStr">
        <is>
          <t>The Last of Us vs Downton Abbey</t>
        </is>
      </c>
      <c r="U9" s="48" t="inlineStr">
        <is>
          <t>A</t>
        </is>
      </c>
      <c r="V9" s="48" t="inlineStr">
        <is>
          <t>12 Angry Men vs Killers of the Flower Moon</t>
        </is>
      </c>
      <c r="W9" s="48" t="inlineStr">
        <is>
          <t>A</t>
        </is>
      </c>
      <c r="X9" s="48" t="inlineStr">
        <is>
          <t>Breaking Bad vs Friends</t>
        </is>
      </c>
      <c r="Y9" s="48" t="inlineStr">
        <is>
          <t>A</t>
        </is>
      </c>
      <c r="Z9" s="48" t="n">
        <v>0</v>
      </c>
      <c r="AA9" s="48" t="n">
        <v>3</v>
      </c>
      <c r="AB9" s="48" t="inlineStr">
        <is>
          <t>popularity=1.000 capped (pre-fix). "Both" overshoot: combined delta bypassed headroom check. FIXED with third scaling term.</t>
        </is>
      </c>
    </row>
    <row r="10">
      <c r="A10" s="48" t="inlineStr">
        <is>
          <t>S9</t>
        </is>
      </c>
      <c r="B10" s="48" t="inlineStr">
        <is>
          <t>18/02/2026</t>
        </is>
      </c>
      <c r="C10" s="48" t="inlineStr">
        <is>
          <t>Edge case</t>
        </is>
      </c>
      <c r="D10" s="48" t="inlineStr">
        <is>
          <t>5× Neither answers (max Neither)</t>
        </is>
      </c>
      <c r="E10" s="48" t="inlineStr">
        <is>
          <t>cult-indie, prestige-award-winners, true-crime-real-stories</t>
        </is>
      </c>
      <c r="F10" s="48" t="inlineStr">
        <is>
          <t>The Dark Knight vs Mamma Mia!</t>
        </is>
      </c>
      <c r="G10" s="48" t="inlineStr">
        <is>
          <t>neither</t>
        </is>
      </c>
      <c r="H10" s="48" t="inlineStr">
        <is>
          <t>Inception vs Pride &amp; Prejudice</t>
        </is>
      </c>
      <c r="I10" s="48" t="inlineStr">
        <is>
          <t>neither</t>
        </is>
      </c>
      <c r="J10" s="48" t="inlineStr">
        <is>
          <t>Stranger Things vs The Crown</t>
        </is>
      </c>
      <c r="K10" s="48" t="inlineStr">
        <is>
          <t>neither</t>
        </is>
      </c>
      <c r="L10" s="48" t="inlineStr">
        <is>
          <t>Planet Earth II vs Making a Murderer</t>
        </is>
      </c>
      <c r="M10" s="48" t="inlineStr">
        <is>
          <t>neither</t>
        </is>
      </c>
      <c r="N10" s="48" t="inlineStr">
        <is>
          <t>The Godfather vs Knives Out</t>
        </is>
      </c>
      <c r="O10" s="48" t="inlineStr">
        <is>
          <t>neither</t>
        </is>
      </c>
      <c r="P10" s="48" t="inlineStr">
        <is>
          <t>Bridesmaids vs Jane Eyre</t>
        </is>
      </c>
      <c r="Q10" s="48" t="inlineStr">
        <is>
          <t>A</t>
        </is>
      </c>
      <c r="R10" s="48" t="inlineStr">
        <is>
          <t>The Last of Us vs Downton Abbey</t>
        </is>
      </c>
      <c r="S10" s="48" t="inlineStr">
        <is>
          <t>A</t>
        </is>
      </c>
      <c r="T10" s="48" t="inlineStr">
        <is>
          <t>Peaky Blinders vs Ted Lasso</t>
        </is>
      </c>
      <c r="U10" s="48" t="inlineStr">
        <is>
          <t>A</t>
        </is>
      </c>
      <c r="V10" s="48" t="inlineStr">
        <is>
          <t>Fight Club vs Soul</t>
        </is>
      </c>
      <c r="W10" s="48" t="inlineStr">
        <is>
          <t>A</t>
        </is>
      </c>
      <c r="X10" s="48" t="inlineStr">
        <is>
          <t>12 Angry Men vs Killers of the Flower Moon</t>
        </is>
      </c>
      <c r="Y10" s="48" t="inlineStr">
        <is>
          <t>A</t>
        </is>
      </c>
      <c r="Z10" s="48" t="n">
        <v>0</v>
      </c>
      <c r="AA10" s="48" t="n">
        <v>2</v>
      </c>
      <c r="AB10" s="48" t="inlineStr">
        <is>
          <t>"Neither" only affected genre dims. Meta scaling barely activated (2 activations).</t>
        </is>
      </c>
    </row>
    <row r="11">
      <c r="A11" s="48" t="inlineStr">
        <is>
          <t>S10</t>
        </is>
      </c>
      <c r="B11" s="48" t="inlineStr">
        <is>
          <t>18/02/2026</t>
        </is>
      </c>
      <c r="C11" s="48" t="inlineStr">
        <is>
          <t>Edge case</t>
        </is>
      </c>
      <c r="D11" s="48" t="inlineStr">
        <is>
          <t>Narrow 2-cluster, all A picks</t>
        </is>
      </c>
      <c r="E11" s="48" t="inlineStr">
        <is>
          <t>dark-thrillers, action-adrenaline</t>
        </is>
      </c>
      <c r="F11" s="48" t="inlineStr">
        <is>
          <t>The Dark Knight vs Mamma Mia!</t>
        </is>
      </c>
      <c r="G11" s="48" t="inlineStr">
        <is>
          <t>A</t>
        </is>
      </c>
      <c r="H11" s="48" t="inlineStr">
        <is>
          <t>Inception vs Pride &amp; Prejudice</t>
        </is>
      </c>
      <c r="I11" s="48" t="inlineStr">
        <is>
          <t>A</t>
        </is>
      </c>
      <c r="J11" s="48" t="inlineStr">
        <is>
          <t>Stranger Things vs The Crown</t>
        </is>
      </c>
      <c r="K11" s="48" t="inlineStr">
        <is>
          <t>A</t>
        </is>
      </c>
      <c r="L11" s="48" t="inlineStr">
        <is>
          <t>The Godfather vs Knives Out</t>
        </is>
      </c>
      <c r="M11" s="48" t="inlineStr">
        <is>
          <t>A</t>
        </is>
      </c>
      <c r="N11" s="48" t="inlineStr">
        <is>
          <t>Spider-Man: Into the Spider-Verse vs Spirited Away</t>
        </is>
      </c>
      <c r="O11" s="48" t="inlineStr">
        <is>
          <t>A</t>
        </is>
      </c>
      <c r="P11" s="48" t="inlineStr">
        <is>
          <t>Squid Game vs Schitt's Creek</t>
        </is>
      </c>
      <c r="Q11" s="48" t="inlineStr">
        <is>
          <t>A</t>
        </is>
      </c>
      <c r="R11" s="48" t="inlineStr">
        <is>
          <t>Parasite vs Paddington 2</t>
        </is>
      </c>
      <c r="S11" s="48" t="inlineStr">
        <is>
          <t>A</t>
        </is>
      </c>
      <c r="T11" s="48" t="inlineStr">
        <is>
          <t>Top Gun: Maverick vs The Lion King</t>
        </is>
      </c>
      <c r="U11" s="48" t="inlineStr">
        <is>
          <t>A</t>
        </is>
      </c>
      <c r="V11" s="48" t="inlineStr">
        <is>
          <t>Pacific Rim vs In the Mood for Love</t>
        </is>
      </c>
      <c r="W11" s="48" t="inlineStr">
        <is>
          <t>A</t>
        </is>
      </c>
      <c r="X11" s="48" t="inlineStr">
        <is>
          <t>The Wolf of Wall Street vs Amélie</t>
        </is>
      </c>
      <c r="Y11" s="48" t="inlineStr">
        <is>
          <t>A</t>
        </is>
      </c>
      <c r="Z11" s="48" t="n">
        <v>0</v>
      </c>
      <c r="AA11" s="48" t="n">
        <v>5</v>
      </c>
      <c r="AB11" s="48" t="inlineStr">
        <is>
          <t>intensity=0.999 (scaling held at boundary). Narrow 2-cluster produces extreme vector.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26" min="1" max="1"/>
    <col width="7" customWidth="1" style="26" min="2" max="2"/>
    <col width="9" customWidth="1" style="26" min="3" max="3"/>
    <col width="9" customWidth="1" style="26" min="4" max="4"/>
    <col width="9" customWidth="1" style="26" min="5" max="5"/>
    <col width="9" customWidth="1" style="26" min="6" max="6"/>
    <col width="9" customWidth="1" style="26" min="7" max="7"/>
    <col width="9" customWidth="1" style="26" min="8" max="8"/>
    <col width="9" customWidth="1" style="26" min="9" max="9"/>
    <col width="9" customWidth="1" style="26" min="10" max="10"/>
    <col width="9" customWidth="1" style="26" min="11" max="11"/>
    <col width="9" customWidth="1" style="26" min="12" max="12"/>
    <col width="9" customWidth="1" style="26" min="13" max="13"/>
    <col width="9" customWidth="1" style="26" min="14" max="14"/>
    <col width="9" customWidth="1" style="26" min="15" max="15"/>
    <col width="9" customWidth="1" style="26" min="16" max="16"/>
    <col width="9" customWidth="1" style="26" min="17" max="17"/>
    <col width="9" customWidth="1" style="26" min="18" max="18"/>
    <col width="9" customWidth="1" style="26" min="19" max="19"/>
    <col width="9" customWidth="1" style="26" min="20" max="20"/>
    <col width="9" customWidth="1" style="26" min="21" max="21"/>
    <col width="9" customWidth="1" style="26" min="22" max="22"/>
    <col width="9" customWidth="1" style="26" min="23" max="23"/>
    <col width="9" customWidth="1" style="26" min="24" max="24"/>
    <col width="9" customWidth="1" style="26" min="25" max="25"/>
    <col width="9" customWidth="1" style="26" min="26" max="26"/>
    <col width="9" customWidth="1" style="26" min="27" max="27"/>
    <col width="9" customWidth="1" style="26" min="28" max="28"/>
    <col width="9" customWidth="1" style="26" min="29" max="29"/>
    <col width="9" customWidth="1" style="26" min="30" max="30"/>
    <col width="9" customWidth="1" style="26" min="31" max="31"/>
    <col width="9" customWidth="1" style="26" min="32" max="32"/>
    <col width="9" customWidth="1" style="26" min="33" max="33"/>
    <col width="9" customWidth="1" style="26" min="34" max="34"/>
    <col width="9" customWidth="1" style="26" min="35" max="35"/>
    <col width="9" customWidth="1" style="26" min="36" max="36"/>
    <col width="9" customWidth="1" style="26" min="37" max="37"/>
    <col width="9" customWidth="1" style="26" min="38" max="38"/>
    <col width="9" customWidth="1" style="26" min="39" max="39"/>
    <col width="9" customWidth="1" style="26" min="40" max="40"/>
    <col width="9" customWidth="1" style="26" min="41" max="41"/>
    <col width="9" customWidth="1" style="26" min="42" max="42"/>
    <col width="9" customWidth="1" style="26" min="43" max="43"/>
    <col width="9" customWidth="1" style="26" min="44" max="44"/>
    <col width="9" customWidth="1" style="26" min="45" max="45"/>
    <col width="9" customWidth="1" style="26" min="46" max="46"/>
    <col width="9" customWidth="1" style="26" min="47" max="47"/>
    <col width="9" customWidth="1" style="26" min="48" max="48"/>
    <col width="9" customWidth="1" style="26" min="49" max="49"/>
    <col width="9" customWidth="1" style="26" min="50" max="50"/>
    <col width="9" customWidth="1" style="26" min="51" max="51"/>
    <col width="9" customWidth="1" style="26" min="52" max="52"/>
  </cols>
  <sheetData>
    <row r="1">
      <c r="A1" s="47" t="inlineStr">
        <is>
          <t>Dimension</t>
        </is>
      </c>
      <c r="B1" s="47" t="inlineStr">
        <is>
          <t>Type</t>
        </is>
      </c>
      <c r="C1" s="47" t="inlineStr">
        <is>
          <t>S1 Seed</t>
        </is>
      </c>
      <c r="D1" s="47" t="inlineStr">
        <is>
          <t>S1 Final</t>
        </is>
      </c>
      <c r="E1" s="47" t="inlineStr">
        <is>
          <t>S1 Delta</t>
        </is>
      </c>
      <c r="F1" s="47" t="inlineStr">
        <is>
          <t>S1 Capped</t>
        </is>
      </c>
      <c r="G1" s="47" t="inlineStr">
        <is>
          <t>S1 Scaled</t>
        </is>
      </c>
      <c r="H1" s="47" t="inlineStr">
        <is>
          <t>S2 Seed</t>
        </is>
      </c>
      <c r="I1" s="47" t="inlineStr">
        <is>
          <t>S2 Final</t>
        </is>
      </c>
      <c r="J1" s="47" t="inlineStr">
        <is>
          <t>S2 Delta</t>
        </is>
      </c>
      <c r="K1" s="47" t="inlineStr">
        <is>
          <t>S2 Capped</t>
        </is>
      </c>
      <c r="L1" s="47" t="inlineStr">
        <is>
          <t>S2 Scaled</t>
        </is>
      </c>
      <c r="M1" s="47" t="inlineStr">
        <is>
          <t>S3 Seed</t>
        </is>
      </c>
      <c r="N1" s="47" t="inlineStr">
        <is>
          <t>S3 Final</t>
        </is>
      </c>
      <c r="O1" s="47" t="inlineStr">
        <is>
          <t>S3 Delta</t>
        </is>
      </c>
      <c r="P1" s="47" t="inlineStr">
        <is>
          <t>S3 Capped</t>
        </is>
      </c>
      <c r="Q1" s="47" t="inlineStr">
        <is>
          <t>S3 Scaled</t>
        </is>
      </c>
      <c r="R1" s="47" t="inlineStr">
        <is>
          <t>S4 Seed</t>
        </is>
      </c>
      <c r="S1" s="47" t="inlineStr">
        <is>
          <t>S4 Final</t>
        </is>
      </c>
      <c r="T1" s="47" t="inlineStr">
        <is>
          <t>S4 Delta</t>
        </is>
      </c>
      <c r="U1" s="47" t="inlineStr">
        <is>
          <t>S4 Capped</t>
        </is>
      </c>
      <c r="V1" s="47" t="inlineStr">
        <is>
          <t>S4 Scaled</t>
        </is>
      </c>
      <c r="W1" s="47" t="inlineStr">
        <is>
          <t>S5 Seed</t>
        </is>
      </c>
      <c r="X1" s="47" t="inlineStr">
        <is>
          <t>S5 Final</t>
        </is>
      </c>
      <c r="Y1" s="47" t="inlineStr">
        <is>
          <t>S5 Delta</t>
        </is>
      </c>
      <c r="Z1" s="47" t="inlineStr">
        <is>
          <t>S5 Capped</t>
        </is>
      </c>
      <c r="AA1" s="47" t="inlineStr">
        <is>
          <t>S5 Scaled</t>
        </is>
      </c>
      <c r="AB1" s="47" t="inlineStr">
        <is>
          <t>S6 Seed</t>
        </is>
      </c>
      <c r="AC1" s="47" t="inlineStr">
        <is>
          <t>S6 Final</t>
        </is>
      </c>
      <c r="AD1" s="47" t="inlineStr">
        <is>
          <t>S6 Delta</t>
        </is>
      </c>
      <c r="AE1" s="47" t="inlineStr">
        <is>
          <t>S6 Capped</t>
        </is>
      </c>
      <c r="AF1" s="47" t="inlineStr">
        <is>
          <t>S6 Scaled</t>
        </is>
      </c>
      <c r="AG1" s="47" t="inlineStr">
        <is>
          <t>S7 Seed</t>
        </is>
      </c>
      <c r="AH1" s="47" t="inlineStr">
        <is>
          <t>S7 Final</t>
        </is>
      </c>
      <c r="AI1" s="47" t="inlineStr">
        <is>
          <t>S7 Delta</t>
        </is>
      </c>
      <c r="AJ1" s="47" t="inlineStr">
        <is>
          <t>S7 Capped</t>
        </is>
      </c>
      <c r="AK1" s="47" t="inlineStr">
        <is>
          <t>S7 Scaled</t>
        </is>
      </c>
      <c r="AL1" s="47" t="inlineStr">
        <is>
          <t>S8 Seed</t>
        </is>
      </c>
      <c r="AM1" s="47" t="inlineStr">
        <is>
          <t>S8 Final</t>
        </is>
      </c>
      <c r="AN1" s="47" t="inlineStr">
        <is>
          <t>S8 Delta</t>
        </is>
      </c>
      <c r="AO1" s="47" t="inlineStr">
        <is>
          <t>S8 Capped</t>
        </is>
      </c>
      <c r="AP1" s="47" t="inlineStr">
        <is>
          <t>S8 Scaled</t>
        </is>
      </c>
      <c r="AQ1" s="47" t="inlineStr">
        <is>
          <t>S9 Seed</t>
        </is>
      </c>
      <c r="AR1" s="47" t="inlineStr">
        <is>
          <t>S9 Final</t>
        </is>
      </c>
      <c r="AS1" s="47" t="inlineStr">
        <is>
          <t>S9 Delta</t>
        </is>
      </c>
      <c r="AT1" s="47" t="inlineStr">
        <is>
          <t>S9 Capped</t>
        </is>
      </c>
      <c r="AU1" s="47" t="inlineStr">
        <is>
          <t>S9 Scaled</t>
        </is>
      </c>
      <c r="AV1" s="47" t="inlineStr">
        <is>
          <t>S10 Seed</t>
        </is>
      </c>
      <c r="AW1" s="47" t="inlineStr">
        <is>
          <t>S10 Final</t>
        </is>
      </c>
      <c r="AX1" s="47" t="inlineStr">
        <is>
          <t>S10 Delta</t>
        </is>
      </c>
      <c r="AY1" s="47" t="inlineStr">
        <is>
          <t>S10 Capped</t>
        </is>
      </c>
      <c r="AZ1" s="47" t="inlineStr">
        <is>
          <t>S10 Scaled</t>
        </is>
      </c>
    </row>
    <row r="2">
      <c r="A2" s="49" t="inlineStr">
        <is>
          <t>tone</t>
        </is>
      </c>
      <c r="B2" s="50" t="inlineStr">
        <is>
          <t>Meta</t>
        </is>
      </c>
      <c r="C2" s="51" t="n">
        <v>-0.55</v>
      </c>
      <c r="D2" s="51" t="n">
        <v>-0.947</v>
      </c>
      <c r="E2" s="51" t="n">
        <v>-0.397</v>
      </c>
      <c r="F2" s="52" t="inlineStr">
        <is>
          <t>No</t>
        </is>
      </c>
      <c r="G2" s="53" t="inlineStr">
        <is>
          <t>Yes</t>
        </is>
      </c>
      <c r="H2" s="51" t="n">
        <v>0.067</v>
      </c>
      <c r="I2" s="51" t="n">
        <v>0.348</v>
      </c>
      <c r="J2" s="51" t="n">
        <v>0.281</v>
      </c>
      <c r="K2" s="52" t="inlineStr">
        <is>
          <t>No</t>
        </is>
      </c>
      <c r="L2" s="52" t="inlineStr">
        <is>
          <t>No</t>
        </is>
      </c>
      <c r="M2" s="51" t="n">
        <v>-0.5</v>
      </c>
      <c r="N2" s="51" t="n">
        <v>-0.928</v>
      </c>
      <c r="O2" s="51" t="n">
        <v>-0.428</v>
      </c>
      <c r="P2" s="52" t="inlineStr">
        <is>
          <t>No</t>
        </is>
      </c>
      <c r="Q2" s="53" t="inlineStr">
        <is>
          <t>Yes</t>
        </is>
      </c>
      <c r="R2" s="51" t="n">
        <v>0.8</v>
      </c>
      <c r="S2" s="51" t="n">
        <v>0.372</v>
      </c>
      <c r="T2" s="51" t="n">
        <v>-0.428</v>
      </c>
      <c r="U2" s="52" t="inlineStr">
        <is>
          <t>No</t>
        </is>
      </c>
      <c r="V2" s="52" t="inlineStr">
        <is>
          <t>No</t>
        </is>
      </c>
      <c r="W2" s="51" t="n">
        <v>0.667</v>
      </c>
      <c r="X2" s="51" t="n">
        <v>0.845</v>
      </c>
      <c r="Y2" s="51" t="n">
        <v>0.179</v>
      </c>
      <c r="Z2" s="52" t="inlineStr">
        <is>
          <t>No</t>
        </is>
      </c>
      <c r="AA2" s="53" t="inlineStr">
        <is>
          <t>Yes</t>
        </is>
      </c>
      <c r="AB2" s="51" t="n">
        <v>0.75</v>
      </c>
      <c r="AC2" s="51" t="n">
        <v>0.903</v>
      </c>
      <c r="AD2" s="51" t="n">
        <v>0.153</v>
      </c>
      <c r="AE2" s="52" t="inlineStr">
        <is>
          <t>No</t>
        </is>
      </c>
      <c r="AF2" s="53" t="inlineStr">
        <is>
          <t>Yes</t>
        </is>
      </c>
      <c r="AG2" s="51" t="n">
        <v>-0</v>
      </c>
      <c r="AH2" s="51" t="n">
        <v>-0.18</v>
      </c>
      <c r="AI2" s="51" t="n">
        <v>-0.18</v>
      </c>
      <c r="AJ2" s="52" t="inlineStr">
        <is>
          <t>No</t>
        </is>
      </c>
      <c r="AK2" s="52" t="inlineStr">
        <is>
          <t>No</t>
        </is>
      </c>
      <c r="AL2" s="51" t="n">
        <v>0</v>
      </c>
      <c r="AM2" s="51" t="n">
        <v>0.131</v>
      </c>
      <c r="AN2" s="51" t="n">
        <v>0.131</v>
      </c>
      <c r="AO2" s="52" t="inlineStr">
        <is>
          <t>No</t>
        </is>
      </c>
      <c r="AP2" s="52" t="inlineStr">
        <is>
          <t>No</t>
        </is>
      </c>
      <c r="AQ2" s="51" t="n">
        <v>-0.333</v>
      </c>
      <c r="AR2" s="51" t="n">
        <v>-0.539</v>
      </c>
      <c r="AS2" s="51" t="n">
        <v>-0.206</v>
      </c>
      <c r="AT2" s="52" t="inlineStr">
        <is>
          <t>No</t>
        </is>
      </c>
      <c r="AU2" s="52" t="inlineStr">
        <is>
          <t>No</t>
        </is>
      </c>
      <c r="AV2" s="51" t="n">
        <v>-0.5</v>
      </c>
      <c r="AW2" s="51" t="n">
        <v>-0.928</v>
      </c>
      <c r="AX2" s="51" t="n">
        <v>-0.428</v>
      </c>
      <c r="AY2" s="52" t="inlineStr">
        <is>
          <t>No</t>
        </is>
      </c>
      <c r="AZ2" s="53" t="inlineStr">
        <is>
          <t>Yes</t>
        </is>
      </c>
    </row>
    <row r="3">
      <c r="A3" s="49" t="inlineStr">
        <is>
          <t>pacing</t>
        </is>
      </c>
      <c r="B3" s="50" t="inlineStr">
        <is>
          <t>Meta</t>
        </is>
      </c>
      <c r="C3" s="51" t="n">
        <v>0.3</v>
      </c>
      <c r="D3" s="51" t="n">
        <v>0.984</v>
      </c>
      <c r="E3" s="51" t="n">
        <v>0.6840000000000001</v>
      </c>
      <c r="F3" s="52" t="inlineStr">
        <is>
          <t>No</t>
        </is>
      </c>
      <c r="G3" s="53" t="inlineStr">
        <is>
          <t>Yes</t>
        </is>
      </c>
      <c r="H3" s="51" t="n">
        <v>-0.4</v>
      </c>
      <c r="I3" s="51" t="n">
        <v>-0.879</v>
      </c>
      <c r="J3" s="51" t="n">
        <v>-0.479</v>
      </c>
      <c r="K3" s="52" t="inlineStr">
        <is>
          <t>No</t>
        </is>
      </c>
      <c r="L3" s="53" t="inlineStr">
        <is>
          <t>Yes</t>
        </is>
      </c>
      <c r="M3" s="51" t="n">
        <v>0.467</v>
      </c>
      <c r="N3" s="51" t="n">
        <v>0.995</v>
      </c>
      <c r="O3" s="51" t="n">
        <v>0.529</v>
      </c>
      <c r="P3" s="52" t="inlineStr">
        <is>
          <t>No</t>
        </is>
      </c>
      <c r="Q3" s="53" t="inlineStr">
        <is>
          <t>Yes</t>
        </is>
      </c>
      <c r="R3" s="51" t="n">
        <v>0.1</v>
      </c>
      <c r="S3" s="51" t="n">
        <v>0.526</v>
      </c>
      <c r="T3" s="51" t="n">
        <v>0.426</v>
      </c>
      <c r="U3" s="52" t="inlineStr">
        <is>
          <t>No</t>
        </is>
      </c>
      <c r="V3" s="53" t="inlineStr">
        <is>
          <t>Yes</t>
        </is>
      </c>
      <c r="W3" s="51" t="n">
        <v>0.45</v>
      </c>
      <c r="X3" s="51" t="n">
        <v>0.546</v>
      </c>
      <c r="Y3" s="51" t="n">
        <v>0.096</v>
      </c>
      <c r="Z3" s="52" t="inlineStr">
        <is>
          <t>No</t>
        </is>
      </c>
      <c r="AA3" s="53" t="inlineStr">
        <is>
          <t>Yes</t>
        </is>
      </c>
      <c r="AB3" s="51" t="n">
        <v>0.25</v>
      </c>
      <c r="AC3" s="51" t="n">
        <v>0.423</v>
      </c>
      <c r="AD3" s="51" t="n">
        <v>0.173</v>
      </c>
      <c r="AE3" s="52" t="inlineStr">
        <is>
          <t>No</t>
        </is>
      </c>
      <c r="AF3" s="52" t="inlineStr">
        <is>
          <t>No</t>
        </is>
      </c>
      <c r="AG3" s="51" t="n">
        <v>0.35</v>
      </c>
      <c r="AH3" s="51" t="n">
        <v>0.417</v>
      </c>
      <c r="AI3" s="51" t="n">
        <v>0.067</v>
      </c>
      <c r="AJ3" s="52" t="inlineStr">
        <is>
          <t>No</t>
        </is>
      </c>
      <c r="AK3" s="53" t="inlineStr">
        <is>
          <t>Yes</t>
        </is>
      </c>
      <c r="AL3" s="51" t="n">
        <v>0.267</v>
      </c>
      <c r="AM3" s="51" t="n">
        <v>0.799</v>
      </c>
      <c r="AN3" s="51" t="n">
        <v>0.533</v>
      </c>
      <c r="AO3" s="52" t="inlineStr">
        <is>
          <t>No</t>
        </is>
      </c>
      <c r="AP3" s="53" t="inlineStr">
        <is>
          <t>Yes</t>
        </is>
      </c>
      <c r="AQ3" s="51" t="n">
        <v>-0.3</v>
      </c>
      <c r="AR3" s="51" t="n">
        <v>0.246</v>
      </c>
      <c r="AS3" s="51" t="n">
        <v>0.546</v>
      </c>
      <c r="AT3" s="52" t="inlineStr">
        <is>
          <t>No</t>
        </is>
      </c>
      <c r="AU3" s="52" t="inlineStr">
        <is>
          <t>No</t>
        </is>
      </c>
      <c r="AV3" s="51" t="n">
        <v>0.8</v>
      </c>
      <c r="AW3" s="51" t="n">
        <v>0.945</v>
      </c>
      <c r="AX3" s="51" t="n">
        <v>0.145</v>
      </c>
      <c r="AY3" s="52" t="inlineStr">
        <is>
          <t>No</t>
        </is>
      </c>
      <c r="AZ3" s="53" t="inlineStr">
        <is>
          <t>Yes</t>
        </is>
      </c>
    </row>
    <row r="4">
      <c r="A4" s="49" t="inlineStr">
        <is>
          <t>era</t>
        </is>
      </c>
      <c r="B4" s="50" t="inlineStr">
        <is>
          <t>Meta</t>
        </is>
      </c>
      <c r="C4" s="51" t="n">
        <v>-0.2</v>
      </c>
      <c r="D4" s="51" t="n">
        <v>0.358</v>
      </c>
      <c r="E4" s="51" t="n">
        <v>0.5580000000000001</v>
      </c>
      <c r="F4" s="52" t="inlineStr">
        <is>
          <t>No</t>
        </is>
      </c>
      <c r="G4" s="52" t="inlineStr">
        <is>
          <t>No</t>
        </is>
      </c>
      <c r="H4" s="51" t="n">
        <v>0</v>
      </c>
      <c r="I4" s="51" t="n">
        <v>-0.576</v>
      </c>
      <c r="J4" s="51" t="n">
        <v>-0.576</v>
      </c>
      <c r="K4" s="52" t="inlineStr">
        <is>
          <t>No</t>
        </is>
      </c>
      <c r="L4" s="52" t="inlineStr">
        <is>
          <t>No</t>
        </is>
      </c>
      <c r="M4" s="51" t="n">
        <v>0</v>
      </c>
      <c r="N4" s="51" t="n">
        <v>0.854</v>
      </c>
      <c r="O4" s="51" t="n">
        <v>0.854</v>
      </c>
      <c r="P4" s="52" t="inlineStr">
        <is>
          <t>No</t>
        </is>
      </c>
      <c r="Q4" s="53" t="inlineStr">
        <is>
          <t>Yes</t>
        </is>
      </c>
      <c r="R4" s="51" t="n">
        <v>-0.2</v>
      </c>
      <c r="S4" s="51" t="n">
        <v>0.524</v>
      </c>
      <c r="T4" s="51" t="n">
        <v>0.724</v>
      </c>
      <c r="U4" s="52" t="inlineStr">
        <is>
          <t>No</t>
        </is>
      </c>
      <c r="V4" s="53" t="inlineStr">
        <is>
          <t>Yes</t>
        </is>
      </c>
      <c r="W4" s="51" t="n">
        <v>0</v>
      </c>
      <c r="X4" s="51" t="n">
        <v>0.371</v>
      </c>
      <c r="Y4" s="51" t="n">
        <v>0.371</v>
      </c>
      <c r="Z4" s="52" t="inlineStr">
        <is>
          <t>No</t>
        </is>
      </c>
      <c r="AA4" s="52" t="inlineStr">
        <is>
          <t>No</t>
        </is>
      </c>
      <c r="AB4" s="51" t="n">
        <v>0</v>
      </c>
      <c r="AC4" s="51" t="n">
        <v>-0.704</v>
      </c>
      <c r="AD4" s="51" t="n">
        <v>-0.704</v>
      </c>
      <c r="AE4" s="52" t="inlineStr">
        <is>
          <t>No</t>
        </is>
      </c>
      <c r="AF4" s="53" t="inlineStr">
        <is>
          <t>Yes</t>
        </is>
      </c>
      <c r="AG4" s="51" t="n">
        <v>0</v>
      </c>
      <c r="AH4" s="51" t="n">
        <v>0.636</v>
      </c>
      <c r="AI4" s="51" t="n">
        <v>0.636</v>
      </c>
      <c r="AJ4" s="52" t="inlineStr">
        <is>
          <t>No</t>
        </is>
      </c>
      <c r="AK4" s="52" t="inlineStr">
        <is>
          <t>No</t>
        </is>
      </c>
      <c r="AL4" s="51" t="n">
        <v>-0.2</v>
      </c>
      <c r="AM4" s="51" t="n">
        <v>-0.193</v>
      </c>
      <c r="AN4" s="51" t="n">
        <v>0.007</v>
      </c>
      <c r="AO4" s="52" t="inlineStr">
        <is>
          <t>No</t>
        </is>
      </c>
      <c r="AP4" s="52" t="inlineStr">
        <is>
          <t>No</t>
        </is>
      </c>
      <c r="AQ4" s="51" t="n">
        <v>0</v>
      </c>
      <c r="AR4" s="51" t="n">
        <v>0.168</v>
      </c>
      <c r="AS4" s="51" t="n">
        <v>0.168</v>
      </c>
      <c r="AT4" s="52" t="inlineStr">
        <is>
          <t>No</t>
        </is>
      </c>
      <c r="AU4" s="52" t="inlineStr">
        <is>
          <t>No</t>
        </is>
      </c>
      <c r="AV4" s="51" t="n">
        <v>0</v>
      </c>
      <c r="AW4" s="51" t="n">
        <v>0.6899999999999999</v>
      </c>
      <c r="AX4" s="51" t="n">
        <v>0.6899999999999999</v>
      </c>
      <c r="AY4" s="52" t="inlineStr">
        <is>
          <t>No</t>
        </is>
      </c>
      <c r="AZ4" s="52" t="inlineStr">
        <is>
          <t>No</t>
        </is>
      </c>
    </row>
    <row r="5">
      <c r="A5" s="49" t="inlineStr">
        <is>
          <t>popularity</t>
        </is>
      </c>
      <c r="B5" s="50" t="inlineStr">
        <is>
          <t>Meta</t>
        </is>
      </c>
      <c r="C5" s="51" t="n">
        <v>0</v>
      </c>
      <c r="D5" s="51" t="n">
        <v>0.614</v>
      </c>
      <c r="E5" s="51" t="n">
        <v>0.614</v>
      </c>
      <c r="F5" s="52" t="inlineStr">
        <is>
          <t>No</t>
        </is>
      </c>
      <c r="G5" s="52" t="inlineStr">
        <is>
          <t>No</t>
        </is>
      </c>
      <c r="H5" s="51" t="n">
        <v>-0.6</v>
      </c>
      <c r="I5" s="51" t="n">
        <v>-0.666</v>
      </c>
      <c r="J5" s="51" t="n">
        <v>-0.066</v>
      </c>
      <c r="K5" s="52" t="inlineStr">
        <is>
          <t>No</t>
        </is>
      </c>
      <c r="L5" s="53" t="inlineStr">
        <is>
          <t>Yes</t>
        </is>
      </c>
      <c r="M5" s="51" t="n">
        <v>0</v>
      </c>
      <c r="N5" s="51" t="n">
        <v>0.614</v>
      </c>
      <c r="O5" s="51" t="n">
        <v>0.614</v>
      </c>
      <c r="P5" s="52" t="inlineStr">
        <is>
          <t>No</t>
        </is>
      </c>
      <c r="Q5" s="52" t="inlineStr">
        <is>
          <t>No</t>
        </is>
      </c>
      <c r="R5" s="51" t="n">
        <v>0</v>
      </c>
      <c r="S5" s="51" t="n">
        <v>-0.158</v>
      </c>
      <c r="T5" s="51" t="n">
        <v>-0.158</v>
      </c>
      <c r="U5" s="52" t="inlineStr">
        <is>
          <t>No</t>
        </is>
      </c>
      <c r="V5" s="52" t="inlineStr">
        <is>
          <t>No</t>
        </is>
      </c>
      <c r="W5" s="51" t="n">
        <v>0.6</v>
      </c>
      <c r="X5" s="51" t="n">
        <v>0.612</v>
      </c>
      <c r="Y5" s="51" t="n">
        <v>0.012</v>
      </c>
      <c r="Z5" s="52" t="inlineStr">
        <is>
          <t>No</t>
        </is>
      </c>
      <c r="AA5" s="53" t="inlineStr">
        <is>
          <t>Yes</t>
        </is>
      </c>
      <c r="AB5" s="51" t="n">
        <v>0</v>
      </c>
      <c r="AC5" s="51" t="n">
        <v>-0.2</v>
      </c>
      <c r="AD5" s="51" t="n">
        <v>-0.2</v>
      </c>
      <c r="AE5" s="52" t="inlineStr">
        <is>
          <t>No</t>
        </is>
      </c>
      <c r="AF5" s="52" t="inlineStr">
        <is>
          <t>No</t>
        </is>
      </c>
      <c r="AG5" s="51" t="n">
        <v>0</v>
      </c>
      <c r="AH5" s="51" t="n">
        <v>-0.23</v>
      </c>
      <c r="AI5" s="51" t="n">
        <v>-0.23</v>
      </c>
      <c r="AJ5" s="52" t="inlineStr">
        <is>
          <t>No</t>
        </is>
      </c>
      <c r="AK5" s="52" t="inlineStr">
        <is>
          <t>No</t>
        </is>
      </c>
      <c r="AL5" s="51" t="n">
        <v>0</v>
      </c>
      <c r="AM5" s="51" t="n">
        <v>1</v>
      </c>
      <c r="AN5" s="51" t="n">
        <v>1</v>
      </c>
      <c r="AO5" s="54" t="inlineStr">
        <is>
          <t>Yes</t>
        </is>
      </c>
      <c r="AP5" s="52" t="inlineStr">
        <is>
          <t>No</t>
        </is>
      </c>
      <c r="AQ5" s="51" t="n">
        <v>-0.6</v>
      </c>
      <c r="AR5" s="51" t="n">
        <v>-0.61</v>
      </c>
      <c r="AS5" s="51" t="n">
        <v>-0.01</v>
      </c>
      <c r="AT5" s="52" t="inlineStr">
        <is>
          <t>No</t>
        </is>
      </c>
      <c r="AU5" s="53" t="inlineStr">
        <is>
          <t>Yes</t>
        </is>
      </c>
      <c r="AV5" s="51" t="n">
        <v>0</v>
      </c>
      <c r="AW5" s="51" t="n">
        <v>0.614</v>
      </c>
      <c r="AX5" s="51" t="n">
        <v>0.614</v>
      </c>
      <c r="AY5" s="52" t="inlineStr">
        <is>
          <t>No</t>
        </is>
      </c>
      <c r="AZ5" s="52" t="inlineStr">
        <is>
          <t>No</t>
        </is>
      </c>
    </row>
    <row r="6">
      <c r="A6" s="49" t="inlineStr">
        <is>
          <t>intensity</t>
        </is>
      </c>
      <c r="B6" s="50" t="inlineStr">
        <is>
          <t>Meta</t>
        </is>
      </c>
      <c r="C6" s="51" t="n">
        <v>0.5669999999999999</v>
      </c>
      <c r="D6" s="51" t="n">
        <v>0.956</v>
      </c>
      <c r="E6" s="51" t="n">
        <v>0.389</v>
      </c>
      <c r="F6" s="52" t="inlineStr">
        <is>
          <t>No</t>
        </is>
      </c>
      <c r="G6" s="53" t="inlineStr">
        <is>
          <t>Yes</t>
        </is>
      </c>
      <c r="H6" s="51" t="n">
        <v>0.133</v>
      </c>
      <c r="I6" s="51" t="n">
        <v>0.424</v>
      </c>
      <c r="J6" s="51" t="n">
        <v>0.291</v>
      </c>
      <c r="K6" s="52" t="inlineStr">
        <is>
          <t>No</t>
        </is>
      </c>
      <c r="L6" s="52" t="inlineStr">
        <is>
          <t>No</t>
        </is>
      </c>
      <c r="M6" s="51" t="n">
        <v>0.65</v>
      </c>
      <c r="N6" s="51" t="n">
        <v>0.955</v>
      </c>
      <c r="O6" s="51" t="n">
        <v>0.305</v>
      </c>
      <c r="P6" s="52" t="inlineStr">
        <is>
          <t>No</t>
        </is>
      </c>
      <c r="Q6" s="53" t="inlineStr">
        <is>
          <t>Yes</t>
        </is>
      </c>
      <c r="R6" s="51" t="n">
        <v>0.033</v>
      </c>
      <c r="S6" s="51" t="n">
        <v>0.828</v>
      </c>
      <c r="T6" s="51" t="n">
        <v>0.794</v>
      </c>
      <c r="U6" s="52" t="inlineStr">
        <is>
          <t>No</t>
        </is>
      </c>
      <c r="V6" s="53" t="inlineStr">
        <is>
          <t>Yes</t>
        </is>
      </c>
      <c r="W6" s="51" t="n">
        <v>-0.3</v>
      </c>
      <c r="X6" s="51" t="n">
        <v>-0.066</v>
      </c>
      <c r="Y6" s="51" t="n">
        <v>0.234</v>
      </c>
      <c r="Z6" s="52" t="inlineStr">
        <is>
          <t>No</t>
        </is>
      </c>
      <c r="AA6" s="53" t="inlineStr">
        <is>
          <t>Yes</t>
        </is>
      </c>
      <c r="AB6" s="51" t="n">
        <v>-0.133</v>
      </c>
      <c r="AC6" s="51" t="n">
        <v>-0.484</v>
      </c>
      <c r="AD6" s="51" t="n">
        <v>-0.351</v>
      </c>
      <c r="AE6" s="52" t="inlineStr">
        <is>
          <t>No</t>
        </is>
      </c>
      <c r="AF6" s="53" t="inlineStr">
        <is>
          <t>Yes</t>
        </is>
      </c>
      <c r="AG6" s="51" t="n">
        <v>0.317</v>
      </c>
      <c r="AH6" s="51" t="n">
        <v>0.779</v>
      </c>
      <c r="AI6" s="51" t="n">
        <v>0.462</v>
      </c>
      <c r="AJ6" s="52" t="inlineStr">
        <is>
          <t>No</t>
        </is>
      </c>
      <c r="AK6" s="53" t="inlineStr">
        <is>
          <t>Yes</t>
        </is>
      </c>
      <c r="AL6" s="51" t="n">
        <v>0.167</v>
      </c>
      <c r="AM6" s="51" t="n">
        <v>0.912</v>
      </c>
      <c r="AN6" s="51" t="n">
        <v>0.745</v>
      </c>
      <c r="AO6" s="52" t="inlineStr">
        <is>
          <t>No</t>
        </is>
      </c>
      <c r="AP6" s="53" t="inlineStr">
        <is>
          <t>Yes</t>
        </is>
      </c>
      <c r="AQ6" s="51" t="n">
        <v>0.4</v>
      </c>
      <c r="AR6" s="51" t="n">
        <v>0.8129999999999999</v>
      </c>
      <c r="AS6" s="51" t="n">
        <v>0.413</v>
      </c>
      <c r="AT6" s="52" t="inlineStr">
        <is>
          <t>No</t>
        </is>
      </c>
      <c r="AU6" s="53" t="inlineStr">
        <is>
          <t>Yes</t>
        </is>
      </c>
      <c r="AV6" s="51" t="n">
        <v>0.725</v>
      </c>
      <c r="AW6" s="51" t="n">
        <v>0.999</v>
      </c>
      <c r="AX6" s="51" t="n">
        <v>0.274</v>
      </c>
      <c r="AY6" s="52" t="inlineStr">
        <is>
          <t>No</t>
        </is>
      </c>
      <c r="AZ6" s="53" t="inlineStr">
        <is>
          <t>Yes</t>
        </is>
      </c>
    </row>
    <row r="7">
      <c r="A7" s="55" t="inlineStr">
        <is>
          <t>action</t>
        </is>
      </c>
      <c r="B7" s="56" t="inlineStr">
        <is>
          <t>Genre</t>
        </is>
      </c>
      <c r="C7" s="57" t="n">
        <v>0.9</v>
      </c>
      <c r="D7" s="57" t="n">
        <v>1</v>
      </c>
      <c r="E7" s="57" t="n">
        <v>0.1</v>
      </c>
      <c r="F7" s="54" t="inlineStr">
        <is>
          <t>Yes</t>
        </is>
      </c>
      <c r="G7" s="58" t="inlineStr">
        <is>
          <t>N/A</t>
        </is>
      </c>
      <c r="H7" s="57" t="n">
        <v>0</v>
      </c>
      <c r="I7" s="57" t="n">
        <v>0</v>
      </c>
      <c r="J7" s="57" t="n">
        <v>0</v>
      </c>
      <c r="K7" s="54" t="inlineStr">
        <is>
          <t>Yes</t>
        </is>
      </c>
      <c r="L7" s="58" t="inlineStr">
        <is>
          <t>N/A</t>
        </is>
      </c>
      <c r="M7" s="57" t="n">
        <v>0.9</v>
      </c>
      <c r="N7" s="57" t="n">
        <v>1</v>
      </c>
      <c r="O7" s="57" t="n">
        <v>0.1</v>
      </c>
      <c r="P7" s="54" t="inlineStr">
        <is>
          <t>Yes</t>
        </is>
      </c>
      <c r="Q7" s="58" t="inlineStr">
        <is>
          <t>N/A</t>
        </is>
      </c>
      <c r="R7" s="57" t="n">
        <v>0.3</v>
      </c>
      <c r="S7" s="57" t="n">
        <v>1</v>
      </c>
      <c r="T7" s="57" t="n">
        <v>0.7</v>
      </c>
      <c r="U7" s="54" t="inlineStr">
        <is>
          <t>Yes</t>
        </is>
      </c>
      <c r="V7" s="58" t="inlineStr">
        <is>
          <t>N/A</t>
        </is>
      </c>
      <c r="W7" s="57" t="n">
        <v>0</v>
      </c>
      <c r="X7" s="57" t="n">
        <v>0</v>
      </c>
      <c r="Y7" s="57" t="n">
        <v>0</v>
      </c>
      <c r="Z7" s="54" t="inlineStr">
        <is>
          <t>Yes</t>
        </is>
      </c>
      <c r="AA7" s="58" t="inlineStr">
        <is>
          <t>N/A</t>
        </is>
      </c>
      <c r="AB7" s="57" t="n">
        <v>0.3</v>
      </c>
      <c r="AC7" s="57" t="n">
        <v>0.36</v>
      </c>
      <c r="AD7" s="57" t="n">
        <v>0.06</v>
      </c>
      <c r="AE7" s="58" t="inlineStr">
        <is>
          <t>No</t>
        </is>
      </c>
      <c r="AF7" s="58" t="inlineStr">
        <is>
          <t>N/A</t>
        </is>
      </c>
      <c r="AG7" s="57" t="n">
        <v>0.9</v>
      </c>
      <c r="AH7" s="57" t="n">
        <v>1</v>
      </c>
      <c r="AI7" s="57" t="n">
        <v>0.1</v>
      </c>
      <c r="AJ7" s="54" t="inlineStr">
        <is>
          <t>Yes</t>
        </is>
      </c>
      <c r="AK7" s="58" t="inlineStr">
        <is>
          <t>N/A</t>
        </is>
      </c>
      <c r="AL7" s="57" t="n">
        <v>0</v>
      </c>
      <c r="AM7" s="57" t="n">
        <v>0.3</v>
      </c>
      <c r="AN7" s="57" t="n">
        <v>0.3</v>
      </c>
      <c r="AO7" s="58" t="inlineStr">
        <is>
          <t>No</t>
        </is>
      </c>
      <c r="AP7" s="58" t="inlineStr">
        <is>
          <t>N/A</t>
        </is>
      </c>
      <c r="AQ7" s="57" t="n">
        <v>0</v>
      </c>
      <c r="AR7" s="57" t="n">
        <v>0</v>
      </c>
      <c r="AS7" s="57" t="n">
        <v>0</v>
      </c>
      <c r="AT7" s="54" t="inlineStr">
        <is>
          <t>Yes</t>
        </is>
      </c>
      <c r="AU7" s="58" t="inlineStr">
        <is>
          <t>N/A</t>
        </is>
      </c>
      <c r="AV7" s="57" t="n">
        <v>0.9</v>
      </c>
      <c r="AW7" s="57" t="n">
        <v>1</v>
      </c>
      <c r="AX7" s="57" t="n">
        <v>0.1</v>
      </c>
      <c r="AY7" s="54" t="inlineStr">
        <is>
          <t>Yes</t>
        </is>
      </c>
      <c r="AZ7" s="58" t="inlineStr">
        <is>
          <t>N/A</t>
        </is>
      </c>
    </row>
    <row r="8">
      <c r="A8" s="55" t="inlineStr">
        <is>
          <t>adventure</t>
        </is>
      </c>
      <c r="B8" s="56" t="inlineStr">
        <is>
          <t>Genre</t>
        </is>
      </c>
      <c r="C8" s="57" t="n">
        <v>0.5</v>
      </c>
      <c r="D8" s="57" t="n">
        <v>0.5</v>
      </c>
      <c r="E8" s="57" t="n">
        <v>0</v>
      </c>
      <c r="F8" s="58" t="inlineStr">
        <is>
          <t>No</t>
        </is>
      </c>
      <c r="G8" s="58" t="inlineStr">
        <is>
          <t>N/A</t>
        </is>
      </c>
      <c r="H8" s="57" t="n">
        <v>0</v>
      </c>
      <c r="I8" s="57" t="n">
        <v>0</v>
      </c>
      <c r="J8" s="57" t="n">
        <v>0</v>
      </c>
      <c r="K8" s="54" t="inlineStr">
        <is>
          <t>Yes</t>
        </is>
      </c>
      <c r="L8" s="58" t="inlineStr">
        <is>
          <t>N/A</t>
        </is>
      </c>
      <c r="M8" s="57" t="n">
        <v>0.5</v>
      </c>
      <c r="N8" s="57" t="n">
        <v>0.5</v>
      </c>
      <c r="O8" s="57" t="n">
        <v>0</v>
      </c>
      <c r="P8" s="58" t="inlineStr">
        <is>
          <t>No</t>
        </is>
      </c>
      <c r="Q8" s="58" t="inlineStr">
        <is>
          <t>N/A</t>
        </is>
      </c>
      <c r="R8" s="57" t="n">
        <v>0.5</v>
      </c>
      <c r="S8" s="57" t="n">
        <v>0.5</v>
      </c>
      <c r="T8" s="57" t="n">
        <v>0</v>
      </c>
      <c r="U8" s="58" t="inlineStr">
        <is>
          <t>No</t>
        </is>
      </c>
      <c r="V8" s="58" t="inlineStr">
        <is>
          <t>N/A</t>
        </is>
      </c>
      <c r="W8" s="57" t="n">
        <v>0</v>
      </c>
      <c r="X8" s="57" t="n">
        <v>0</v>
      </c>
      <c r="Y8" s="57" t="n">
        <v>0</v>
      </c>
      <c r="Z8" s="54" t="inlineStr">
        <is>
          <t>Yes</t>
        </is>
      </c>
      <c r="AA8" s="58" t="inlineStr">
        <is>
          <t>N/A</t>
        </is>
      </c>
      <c r="AB8" s="57" t="n">
        <v>0</v>
      </c>
      <c r="AC8" s="57" t="n">
        <v>0</v>
      </c>
      <c r="AD8" s="57" t="n">
        <v>0</v>
      </c>
      <c r="AE8" s="54" t="inlineStr">
        <is>
          <t>Yes</t>
        </is>
      </c>
      <c r="AF8" s="58" t="inlineStr">
        <is>
          <t>N/A</t>
        </is>
      </c>
      <c r="AG8" s="57" t="n">
        <v>0.5</v>
      </c>
      <c r="AH8" s="57" t="n">
        <v>0.5</v>
      </c>
      <c r="AI8" s="57" t="n">
        <v>0</v>
      </c>
      <c r="AJ8" s="58" t="inlineStr">
        <is>
          <t>No</t>
        </is>
      </c>
      <c r="AK8" s="58" t="inlineStr">
        <is>
          <t>N/A</t>
        </is>
      </c>
      <c r="AL8" s="57" t="n">
        <v>0.5</v>
      </c>
      <c r="AM8" s="57" t="n">
        <v>1</v>
      </c>
      <c r="AN8" s="57" t="n">
        <v>0.5</v>
      </c>
      <c r="AO8" s="54" t="inlineStr">
        <is>
          <t>Yes</t>
        </is>
      </c>
      <c r="AP8" s="58" t="inlineStr">
        <is>
          <t>N/A</t>
        </is>
      </c>
      <c r="AQ8" s="57" t="n">
        <v>0</v>
      </c>
      <c r="AR8" s="57" t="n">
        <v>0</v>
      </c>
      <c r="AS8" s="57" t="n">
        <v>0</v>
      </c>
      <c r="AT8" s="54" t="inlineStr">
        <is>
          <t>Yes</t>
        </is>
      </c>
      <c r="AU8" s="58" t="inlineStr">
        <is>
          <t>N/A</t>
        </is>
      </c>
      <c r="AV8" s="57" t="n">
        <v>0.5</v>
      </c>
      <c r="AW8" s="57" t="n">
        <v>0.5</v>
      </c>
      <c r="AX8" s="57" t="n">
        <v>0</v>
      </c>
      <c r="AY8" s="58" t="inlineStr">
        <is>
          <t>No</t>
        </is>
      </c>
      <c r="AZ8" s="58" t="inlineStr">
        <is>
          <t>N/A</t>
        </is>
      </c>
    </row>
    <row r="9">
      <c r="A9" s="55" t="inlineStr">
        <is>
          <t>animation</t>
        </is>
      </c>
      <c r="B9" s="56" t="inlineStr">
        <is>
          <t>Genre</t>
        </is>
      </c>
      <c r="C9" s="57" t="n">
        <v>0</v>
      </c>
      <c r="D9" s="57" t="n">
        <v>0</v>
      </c>
      <c r="E9" s="57" t="n">
        <v>0</v>
      </c>
      <c r="F9" s="54" t="inlineStr">
        <is>
          <t>Yes</t>
        </is>
      </c>
      <c r="G9" s="58" t="inlineStr">
        <is>
          <t>N/A</t>
        </is>
      </c>
      <c r="H9" s="57" t="n">
        <v>0</v>
      </c>
      <c r="I9" s="57" t="n">
        <v>0</v>
      </c>
      <c r="J9" s="57" t="n">
        <v>0</v>
      </c>
      <c r="K9" s="54" t="inlineStr">
        <is>
          <t>Yes</t>
        </is>
      </c>
      <c r="L9" s="58" t="inlineStr">
        <is>
          <t>N/A</t>
        </is>
      </c>
      <c r="M9" s="57" t="n">
        <v>0</v>
      </c>
      <c r="N9" s="57" t="n">
        <v>0</v>
      </c>
      <c r="O9" s="57" t="n">
        <v>0</v>
      </c>
      <c r="P9" s="54" t="inlineStr">
        <is>
          <t>Yes</t>
        </is>
      </c>
      <c r="Q9" s="58" t="inlineStr">
        <is>
          <t>N/A</t>
        </is>
      </c>
      <c r="R9" s="57" t="n">
        <v>0.9</v>
      </c>
      <c r="S9" s="57" t="n">
        <v>0.9</v>
      </c>
      <c r="T9" s="57" t="n">
        <v>0</v>
      </c>
      <c r="U9" s="58" t="inlineStr">
        <is>
          <t>No</t>
        </is>
      </c>
      <c r="V9" s="58" t="inlineStr">
        <is>
          <t>N/A</t>
        </is>
      </c>
      <c r="W9" s="57" t="n">
        <v>0</v>
      </c>
      <c r="X9" s="57" t="n">
        <v>0</v>
      </c>
      <c r="Y9" s="57" t="n">
        <v>0</v>
      </c>
      <c r="Z9" s="54" t="inlineStr">
        <is>
          <t>Yes</t>
        </is>
      </c>
      <c r="AA9" s="58" t="inlineStr">
        <is>
          <t>N/A</t>
        </is>
      </c>
      <c r="AB9" s="57" t="n">
        <v>0.9</v>
      </c>
      <c r="AC9" s="57" t="n">
        <v>0.9</v>
      </c>
      <c r="AD9" s="57" t="n">
        <v>0</v>
      </c>
      <c r="AE9" s="58" t="inlineStr">
        <is>
          <t>No</t>
        </is>
      </c>
      <c r="AF9" s="58" t="inlineStr">
        <is>
          <t>N/A</t>
        </is>
      </c>
      <c r="AG9" s="57" t="n">
        <v>0</v>
      </c>
      <c r="AH9" s="57" t="n">
        <v>0</v>
      </c>
      <c r="AI9" s="57" t="n">
        <v>0</v>
      </c>
      <c r="AJ9" s="54" t="inlineStr">
        <is>
          <t>Yes</t>
        </is>
      </c>
      <c r="AK9" s="58" t="inlineStr">
        <is>
          <t>N/A</t>
        </is>
      </c>
      <c r="AL9" s="57" t="n">
        <v>0</v>
      </c>
      <c r="AM9" s="57" t="n">
        <v>0</v>
      </c>
      <c r="AN9" s="57" t="n">
        <v>0</v>
      </c>
      <c r="AO9" s="54" t="inlineStr">
        <is>
          <t>Yes</t>
        </is>
      </c>
      <c r="AP9" s="58" t="inlineStr">
        <is>
          <t>N/A</t>
        </is>
      </c>
      <c r="AQ9" s="57" t="n">
        <v>0</v>
      </c>
      <c r="AR9" s="57" t="n">
        <v>0</v>
      </c>
      <c r="AS9" s="57" t="n">
        <v>0</v>
      </c>
      <c r="AT9" s="54" t="inlineStr">
        <is>
          <t>Yes</t>
        </is>
      </c>
      <c r="AU9" s="58" t="inlineStr">
        <is>
          <t>N/A</t>
        </is>
      </c>
      <c r="AV9" s="57" t="n">
        <v>0</v>
      </c>
      <c r="AW9" s="57" t="n">
        <v>0</v>
      </c>
      <c r="AX9" s="57" t="n">
        <v>0</v>
      </c>
      <c r="AY9" s="54" t="inlineStr">
        <is>
          <t>Yes</t>
        </is>
      </c>
      <c r="AZ9" s="58" t="inlineStr">
        <is>
          <t>N/A</t>
        </is>
      </c>
    </row>
    <row r="10">
      <c r="A10" s="55" t="inlineStr">
        <is>
          <t>anime</t>
        </is>
      </c>
      <c r="B10" s="56" t="inlineStr">
        <is>
          <t>Genre</t>
        </is>
      </c>
      <c r="C10" s="57" t="n">
        <v>0</v>
      </c>
      <c r="D10" s="57" t="n">
        <v>0</v>
      </c>
      <c r="E10" s="57" t="n">
        <v>0</v>
      </c>
      <c r="F10" s="54" t="inlineStr">
        <is>
          <t>Yes</t>
        </is>
      </c>
      <c r="G10" s="58" t="inlineStr">
        <is>
          <t>N/A</t>
        </is>
      </c>
      <c r="H10" s="57" t="n">
        <v>0</v>
      </c>
      <c r="I10" s="57" t="n">
        <v>0</v>
      </c>
      <c r="J10" s="57" t="n">
        <v>0</v>
      </c>
      <c r="K10" s="54" t="inlineStr">
        <is>
          <t>Yes</t>
        </is>
      </c>
      <c r="L10" s="58" t="inlineStr">
        <is>
          <t>N/A</t>
        </is>
      </c>
      <c r="M10" s="57" t="n">
        <v>0</v>
      </c>
      <c r="N10" s="57" t="n">
        <v>0</v>
      </c>
      <c r="O10" s="57" t="n">
        <v>0</v>
      </c>
      <c r="P10" s="54" t="inlineStr">
        <is>
          <t>Yes</t>
        </is>
      </c>
      <c r="Q10" s="58" t="inlineStr">
        <is>
          <t>N/A</t>
        </is>
      </c>
      <c r="R10" s="57" t="n">
        <v>0</v>
      </c>
      <c r="S10" s="57" t="n">
        <v>0</v>
      </c>
      <c r="T10" s="57" t="n">
        <v>0</v>
      </c>
      <c r="U10" s="54" t="inlineStr">
        <is>
          <t>Yes</t>
        </is>
      </c>
      <c r="V10" s="58" t="inlineStr">
        <is>
          <t>N/A</t>
        </is>
      </c>
      <c r="W10" s="57" t="n">
        <v>0</v>
      </c>
      <c r="X10" s="57" t="n">
        <v>0</v>
      </c>
      <c r="Y10" s="57" t="n">
        <v>0</v>
      </c>
      <c r="Z10" s="54" t="inlineStr">
        <is>
          <t>Yes</t>
        </is>
      </c>
      <c r="AA10" s="58" t="inlineStr">
        <is>
          <t>N/A</t>
        </is>
      </c>
      <c r="AB10" s="57" t="n">
        <v>0</v>
      </c>
      <c r="AC10" s="57" t="n">
        <v>0</v>
      </c>
      <c r="AD10" s="57" t="n">
        <v>0</v>
      </c>
      <c r="AE10" s="54" t="inlineStr">
        <is>
          <t>Yes</t>
        </is>
      </c>
      <c r="AF10" s="58" t="inlineStr">
        <is>
          <t>N/A</t>
        </is>
      </c>
      <c r="AG10" s="57" t="n">
        <v>0</v>
      </c>
      <c r="AH10" s="57" t="n">
        <v>0</v>
      </c>
      <c r="AI10" s="57" t="n">
        <v>0</v>
      </c>
      <c r="AJ10" s="54" t="inlineStr">
        <is>
          <t>Yes</t>
        </is>
      </c>
      <c r="AK10" s="58" t="inlineStr">
        <is>
          <t>N/A</t>
        </is>
      </c>
      <c r="AL10" s="57" t="n">
        <v>0</v>
      </c>
      <c r="AM10" s="57" t="n">
        <v>0</v>
      </c>
      <c r="AN10" s="57" t="n">
        <v>0</v>
      </c>
      <c r="AO10" s="54" t="inlineStr">
        <is>
          <t>Yes</t>
        </is>
      </c>
      <c r="AP10" s="58" t="inlineStr">
        <is>
          <t>N/A</t>
        </is>
      </c>
      <c r="AQ10" s="57" t="n">
        <v>0</v>
      </c>
      <c r="AR10" s="57" t="n">
        <v>0</v>
      </c>
      <c r="AS10" s="57" t="n">
        <v>0</v>
      </c>
      <c r="AT10" s="54" t="inlineStr">
        <is>
          <t>Yes</t>
        </is>
      </c>
      <c r="AU10" s="58" t="inlineStr">
        <is>
          <t>N/A</t>
        </is>
      </c>
      <c r="AV10" s="57" t="n">
        <v>0</v>
      </c>
      <c r="AW10" s="57" t="n">
        <v>0</v>
      </c>
      <c r="AX10" s="57" t="n">
        <v>0</v>
      </c>
      <c r="AY10" s="54" t="inlineStr">
        <is>
          <t>Yes</t>
        </is>
      </c>
      <c r="AZ10" s="58" t="inlineStr">
        <is>
          <t>N/A</t>
        </is>
      </c>
    </row>
    <row r="11">
      <c r="A11" s="55" t="inlineStr">
        <is>
          <t>comedy</t>
        </is>
      </c>
      <c r="B11" s="56" t="inlineStr">
        <is>
          <t>Genre</t>
        </is>
      </c>
      <c r="C11" s="57" t="n">
        <v>0</v>
      </c>
      <c r="D11" s="57" t="n">
        <v>0</v>
      </c>
      <c r="E11" s="57" t="n">
        <v>0</v>
      </c>
      <c r="F11" s="54" t="inlineStr">
        <is>
          <t>Yes</t>
        </is>
      </c>
      <c r="G11" s="58" t="inlineStr">
        <is>
          <t>N/A</t>
        </is>
      </c>
      <c r="H11" s="57" t="n">
        <v>0.4</v>
      </c>
      <c r="I11" s="57" t="n">
        <v>0</v>
      </c>
      <c r="J11" s="57" t="n">
        <v>-0.4</v>
      </c>
      <c r="K11" s="54" t="inlineStr">
        <is>
          <t>Yes</t>
        </is>
      </c>
      <c r="L11" s="58" t="inlineStr">
        <is>
          <t>N/A</t>
        </is>
      </c>
      <c r="M11" s="57" t="n">
        <v>0</v>
      </c>
      <c r="N11" s="57" t="n">
        <v>0</v>
      </c>
      <c r="O11" s="57" t="n">
        <v>0</v>
      </c>
      <c r="P11" s="54" t="inlineStr">
        <is>
          <t>Yes</t>
        </is>
      </c>
      <c r="Q11" s="58" t="inlineStr">
        <is>
          <t>N/A</t>
        </is>
      </c>
      <c r="R11" s="57" t="n">
        <v>0.9</v>
      </c>
      <c r="S11" s="57" t="n">
        <v>0.72</v>
      </c>
      <c r="T11" s="57" t="n">
        <v>-0.18</v>
      </c>
      <c r="U11" s="58" t="inlineStr">
        <is>
          <t>No</t>
        </is>
      </c>
      <c r="V11" s="58" t="inlineStr">
        <is>
          <t>N/A</t>
        </is>
      </c>
      <c r="W11" s="57" t="n">
        <v>0.5669999999999999</v>
      </c>
      <c r="X11" s="57" t="n">
        <v>0.135</v>
      </c>
      <c r="Y11" s="57" t="n">
        <v>-0.432</v>
      </c>
      <c r="Z11" s="58" t="inlineStr">
        <is>
          <t>No</t>
        </is>
      </c>
      <c r="AA11" s="58" t="inlineStr">
        <is>
          <t>N/A</t>
        </is>
      </c>
      <c r="AB11" s="57" t="n">
        <v>0.75</v>
      </c>
      <c r="AC11" s="57" t="n">
        <v>0.924</v>
      </c>
      <c r="AD11" s="57" t="n">
        <v>0.174</v>
      </c>
      <c r="AE11" s="58" t="inlineStr">
        <is>
          <t>No</t>
        </is>
      </c>
      <c r="AF11" s="58" t="inlineStr">
        <is>
          <t>N/A</t>
        </is>
      </c>
      <c r="AG11" s="57" t="n">
        <v>0.6</v>
      </c>
      <c r="AH11" s="57" t="n">
        <v>0.6840000000000001</v>
      </c>
      <c r="AI11" s="57" t="n">
        <v>0.08400000000000001</v>
      </c>
      <c r="AJ11" s="58" t="inlineStr">
        <is>
          <t>No</t>
        </is>
      </c>
      <c r="AK11" s="58" t="inlineStr">
        <is>
          <t>N/A</t>
        </is>
      </c>
      <c r="AL11" s="57" t="n">
        <v>0.9</v>
      </c>
      <c r="AM11" s="57" t="n">
        <v>1</v>
      </c>
      <c r="AN11" s="57" t="n">
        <v>0.1</v>
      </c>
      <c r="AO11" s="54" t="inlineStr">
        <is>
          <t>Yes</t>
        </is>
      </c>
      <c r="AP11" s="58" t="inlineStr">
        <is>
          <t>N/A</t>
        </is>
      </c>
      <c r="AQ11" s="57" t="n">
        <v>0.2</v>
      </c>
      <c r="AR11" s="57" t="n">
        <v>0.284</v>
      </c>
      <c r="AS11" s="57" t="n">
        <v>0.08400000000000001</v>
      </c>
      <c r="AT11" s="58" t="inlineStr">
        <is>
          <t>No</t>
        </is>
      </c>
      <c r="AU11" s="58" t="inlineStr">
        <is>
          <t>N/A</t>
        </is>
      </c>
      <c r="AV11" s="57" t="n">
        <v>0</v>
      </c>
      <c r="AW11" s="57" t="n">
        <v>0</v>
      </c>
      <c r="AX11" s="57" t="n">
        <v>0</v>
      </c>
      <c r="AY11" s="54" t="inlineStr">
        <is>
          <t>Yes</t>
        </is>
      </c>
      <c r="AZ11" s="58" t="inlineStr">
        <is>
          <t>N/A</t>
        </is>
      </c>
    </row>
    <row r="12">
      <c r="A12" s="55" t="inlineStr">
        <is>
          <t>crime</t>
        </is>
      </c>
      <c r="B12" s="56" t="inlineStr">
        <is>
          <t>Genre</t>
        </is>
      </c>
      <c r="C12" s="57" t="n">
        <v>0</v>
      </c>
      <c r="D12" s="57" t="n">
        <v>0</v>
      </c>
      <c r="E12" s="57" t="n">
        <v>0</v>
      </c>
      <c r="F12" s="54" t="inlineStr">
        <is>
          <t>Yes</t>
        </is>
      </c>
      <c r="G12" s="58" t="inlineStr">
        <is>
          <t>N/A</t>
        </is>
      </c>
      <c r="H12" s="57" t="n">
        <v>0</v>
      </c>
      <c r="I12" s="57" t="n">
        <v>0.21</v>
      </c>
      <c r="J12" s="57" t="n">
        <v>0.21</v>
      </c>
      <c r="K12" s="58" t="inlineStr">
        <is>
          <t>No</t>
        </is>
      </c>
      <c r="L12" s="58" t="inlineStr">
        <is>
          <t>N/A</t>
        </is>
      </c>
      <c r="M12" s="57" t="n">
        <v>0.55</v>
      </c>
      <c r="N12" s="57" t="n">
        <v>0.55</v>
      </c>
      <c r="O12" s="57" t="n">
        <v>0</v>
      </c>
      <c r="P12" s="58" t="inlineStr">
        <is>
          <t>No</t>
        </is>
      </c>
      <c r="Q12" s="58" t="inlineStr">
        <is>
          <t>N/A</t>
        </is>
      </c>
      <c r="R12" s="57" t="n">
        <v>0</v>
      </c>
      <c r="S12" s="57" t="n">
        <v>0</v>
      </c>
      <c r="T12" s="57" t="n">
        <v>0</v>
      </c>
      <c r="U12" s="54" t="inlineStr">
        <is>
          <t>Yes</t>
        </is>
      </c>
      <c r="V12" s="58" t="inlineStr">
        <is>
          <t>N/A</t>
        </is>
      </c>
      <c r="W12" s="57" t="n">
        <v>0</v>
      </c>
      <c r="X12" s="57" t="n">
        <v>0.42</v>
      </c>
      <c r="Y12" s="57" t="n">
        <v>0.42</v>
      </c>
      <c r="Z12" s="58" t="inlineStr">
        <is>
          <t>No</t>
        </is>
      </c>
      <c r="AA12" s="58" t="inlineStr">
        <is>
          <t>N/A</t>
        </is>
      </c>
      <c r="AB12" s="57" t="n">
        <v>0</v>
      </c>
      <c r="AC12" s="57" t="n">
        <v>0</v>
      </c>
      <c r="AD12" s="57" t="n">
        <v>0</v>
      </c>
      <c r="AE12" s="54" t="inlineStr">
        <is>
          <t>Yes</t>
        </is>
      </c>
      <c r="AF12" s="58" t="inlineStr">
        <is>
          <t>N/A</t>
        </is>
      </c>
      <c r="AG12" s="57" t="n">
        <v>0.5</v>
      </c>
      <c r="AH12" s="57" t="n">
        <v>0.584</v>
      </c>
      <c r="AI12" s="57" t="n">
        <v>0.08400000000000001</v>
      </c>
      <c r="AJ12" s="58" t="inlineStr">
        <is>
          <t>No</t>
        </is>
      </c>
      <c r="AK12" s="58" t="inlineStr">
        <is>
          <t>N/A</t>
        </is>
      </c>
      <c r="AL12" s="57" t="n">
        <v>0.6</v>
      </c>
      <c r="AM12" s="57" t="n">
        <v>1</v>
      </c>
      <c r="AN12" s="57" t="n">
        <v>0.4</v>
      </c>
      <c r="AO12" s="54" t="inlineStr">
        <is>
          <t>Yes</t>
        </is>
      </c>
      <c r="AP12" s="58" t="inlineStr">
        <is>
          <t>N/A</t>
        </is>
      </c>
      <c r="AQ12" s="57" t="n">
        <v>0.5</v>
      </c>
      <c r="AR12" s="57" t="n">
        <v>0.41</v>
      </c>
      <c r="AS12" s="57" t="n">
        <v>-0.09</v>
      </c>
      <c r="AT12" s="58" t="inlineStr">
        <is>
          <t>No</t>
        </is>
      </c>
      <c r="AU12" s="58" t="inlineStr">
        <is>
          <t>N/A</t>
        </is>
      </c>
      <c r="AV12" s="57" t="n">
        <v>0.6</v>
      </c>
      <c r="AW12" s="57" t="n">
        <v>0.6</v>
      </c>
      <c r="AX12" s="57" t="n">
        <v>0</v>
      </c>
      <c r="AY12" s="58" t="inlineStr">
        <is>
          <t>No</t>
        </is>
      </c>
      <c r="AZ12" s="58" t="inlineStr">
        <is>
          <t>N/A</t>
        </is>
      </c>
    </row>
    <row r="13">
      <c r="A13" s="55" t="inlineStr">
        <is>
          <t>documentary</t>
        </is>
      </c>
      <c r="B13" s="56" t="inlineStr">
        <is>
          <t>Genre</t>
        </is>
      </c>
      <c r="C13" s="57" t="n">
        <v>0</v>
      </c>
      <c r="D13" s="57" t="n">
        <v>0</v>
      </c>
      <c r="E13" s="57" t="n">
        <v>0</v>
      </c>
      <c r="F13" s="54" t="inlineStr">
        <is>
          <t>Yes</t>
        </is>
      </c>
      <c r="G13" s="58" t="inlineStr">
        <is>
          <t>N/A</t>
        </is>
      </c>
      <c r="H13" s="57" t="n">
        <v>0.2</v>
      </c>
      <c r="I13" s="57" t="n">
        <v>0.2</v>
      </c>
      <c r="J13" s="57" t="n">
        <v>0</v>
      </c>
      <c r="K13" s="58" t="inlineStr">
        <is>
          <t>No</t>
        </is>
      </c>
      <c r="L13" s="58" t="inlineStr">
        <is>
          <t>N/A</t>
        </is>
      </c>
      <c r="M13" s="57" t="n">
        <v>0.9</v>
      </c>
      <c r="N13" s="57" t="n">
        <v>0.9</v>
      </c>
      <c r="O13" s="57" t="n">
        <v>0</v>
      </c>
      <c r="P13" s="58" t="inlineStr">
        <is>
          <t>No</t>
        </is>
      </c>
      <c r="Q13" s="58" t="inlineStr">
        <is>
          <t>N/A</t>
        </is>
      </c>
      <c r="R13" s="57" t="n">
        <v>0</v>
      </c>
      <c r="S13" s="57" t="n">
        <v>0</v>
      </c>
      <c r="T13" s="57" t="n">
        <v>0</v>
      </c>
      <c r="U13" s="54" t="inlineStr">
        <is>
          <t>Yes</t>
        </is>
      </c>
      <c r="V13" s="58" t="inlineStr">
        <is>
          <t>N/A</t>
        </is>
      </c>
      <c r="W13" s="57" t="n">
        <v>0</v>
      </c>
      <c r="X13" s="57" t="n">
        <v>0</v>
      </c>
      <c r="Y13" s="57" t="n">
        <v>0</v>
      </c>
      <c r="Z13" s="54" t="inlineStr">
        <is>
          <t>Yes</t>
        </is>
      </c>
      <c r="AA13" s="58" t="inlineStr">
        <is>
          <t>N/A</t>
        </is>
      </c>
      <c r="AB13" s="57" t="n">
        <v>0</v>
      </c>
      <c r="AC13" s="57" t="n">
        <v>0</v>
      </c>
      <c r="AD13" s="57" t="n">
        <v>0</v>
      </c>
      <c r="AE13" s="54" t="inlineStr">
        <is>
          <t>Yes</t>
        </is>
      </c>
      <c r="AF13" s="58" t="inlineStr">
        <is>
          <t>N/A</t>
        </is>
      </c>
      <c r="AG13" s="57" t="n">
        <v>0.9</v>
      </c>
      <c r="AH13" s="57" t="n">
        <v>0.9</v>
      </c>
      <c r="AI13" s="57" t="n">
        <v>0</v>
      </c>
      <c r="AJ13" s="58" t="inlineStr">
        <is>
          <t>No</t>
        </is>
      </c>
      <c r="AK13" s="58" t="inlineStr">
        <is>
          <t>N/A</t>
        </is>
      </c>
      <c r="AL13" s="57" t="n">
        <v>0</v>
      </c>
      <c r="AM13" s="57" t="n">
        <v>0</v>
      </c>
      <c r="AN13" s="57" t="n">
        <v>0</v>
      </c>
      <c r="AO13" s="54" t="inlineStr">
        <is>
          <t>Yes</t>
        </is>
      </c>
      <c r="AP13" s="58" t="inlineStr">
        <is>
          <t>N/A</t>
        </is>
      </c>
      <c r="AQ13" s="57" t="n">
        <v>0.55</v>
      </c>
      <c r="AR13" s="57" t="n">
        <v>0.25</v>
      </c>
      <c r="AS13" s="57" t="n">
        <v>-0.3</v>
      </c>
      <c r="AT13" s="58" t="inlineStr">
        <is>
          <t>No</t>
        </is>
      </c>
      <c r="AU13" s="58" t="inlineStr">
        <is>
          <t>N/A</t>
        </is>
      </c>
      <c r="AV13" s="57" t="n">
        <v>0</v>
      </c>
      <c r="AW13" s="57" t="n">
        <v>0</v>
      </c>
      <c r="AX13" s="57" t="n">
        <v>0</v>
      </c>
      <c r="AY13" s="54" t="inlineStr">
        <is>
          <t>Yes</t>
        </is>
      </c>
      <c r="AZ13" s="58" t="inlineStr">
        <is>
          <t>N/A</t>
        </is>
      </c>
    </row>
    <row r="14">
      <c r="A14" s="55" t="inlineStr">
        <is>
          <t>drama</t>
        </is>
      </c>
      <c r="B14" s="56" t="inlineStr">
        <is>
          <t>Genre</t>
        </is>
      </c>
      <c r="C14" s="57" t="n">
        <v>0</v>
      </c>
      <c r="D14" s="57" t="n">
        <v>0.08400000000000001</v>
      </c>
      <c r="E14" s="57" t="n">
        <v>0.08400000000000001</v>
      </c>
      <c r="F14" s="58" t="inlineStr">
        <is>
          <t>No</t>
        </is>
      </c>
      <c r="G14" s="58" t="inlineStr">
        <is>
          <t>N/A</t>
        </is>
      </c>
      <c r="H14" s="57" t="n">
        <v>0.433</v>
      </c>
      <c r="I14" s="57" t="n">
        <v>0.481</v>
      </c>
      <c r="J14" s="57" t="n">
        <v>0.048</v>
      </c>
      <c r="K14" s="58" t="inlineStr">
        <is>
          <t>No</t>
        </is>
      </c>
      <c r="L14" s="58" t="inlineStr">
        <is>
          <t>N/A</t>
        </is>
      </c>
      <c r="M14" s="57" t="n">
        <v>0</v>
      </c>
      <c r="N14" s="57" t="n">
        <v>0.08400000000000001</v>
      </c>
      <c r="O14" s="57" t="n">
        <v>0.08400000000000001</v>
      </c>
      <c r="P14" s="58" t="inlineStr">
        <is>
          <t>No</t>
        </is>
      </c>
      <c r="Q14" s="58" t="inlineStr">
        <is>
          <t>N/A</t>
        </is>
      </c>
      <c r="R14" s="57" t="n">
        <v>0.2</v>
      </c>
      <c r="S14" s="57" t="n">
        <v>0.92</v>
      </c>
      <c r="T14" s="57" t="n">
        <v>0.72</v>
      </c>
      <c r="U14" s="58" t="inlineStr">
        <is>
          <t>No</t>
        </is>
      </c>
      <c r="V14" s="58" t="inlineStr">
        <is>
          <t>N/A</t>
        </is>
      </c>
      <c r="W14" s="57" t="n">
        <v>0.25</v>
      </c>
      <c r="X14" s="57" t="n">
        <v>0.298</v>
      </c>
      <c r="Y14" s="57" t="n">
        <v>0.048</v>
      </c>
      <c r="Z14" s="58" t="inlineStr">
        <is>
          <t>No</t>
        </is>
      </c>
      <c r="AA14" s="58" t="inlineStr">
        <is>
          <t>N/A</t>
        </is>
      </c>
      <c r="AB14" s="57" t="n">
        <v>0.25</v>
      </c>
      <c r="AC14" s="57" t="n">
        <v>0.28</v>
      </c>
      <c r="AD14" s="57" t="n">
        <v>0.03</v>
      </c>
      <c r="AE14" s="58" t="inlineStr">
        <is>
          <t>No</t>
        </is>
      </c>
      <c r="AF14" s="58" t="inlineStr">
        <is>
          <t>N/A</t>
        </is>
      </c>
      <c r="AG14" s="57" t="n">
        <v>0.3</v>
      </c>
      <c r="AH14" s="57" t="n">
        <v>0.51</v>
      </c>
      <c r="AI14" s="57" t="n">
        <v>0.21</v>
      </c>
      <c r="AJ14" s="58" t="inlineStr">
        <is>
          <t>No</t>
        </is>
      </c>
      <c r="AK14" s="58" t="inlineStr">
        <is>
          <t>N/A</t>
        </is>
      </c>
      <c r="AL14" s="57" t="n">
        <v>0.2</v>
      </c>
      <c r="AM14" s="57" t="n">
        <v>1</v>
      </c>
      <c r="AN14" s="57" t="n">
        <v>0.8</v>
      </c>
      <c r="AO14" s="54" t="inlineStr">
        <is>
          <t>Yes</t>
        </is>
      </c>
      <c r="AP14" s="58" t="inlineStr">
        <is>
          <t>N/A</t>
        </is>
      </c>
      <c r="AQ14" s="57" t="n">
        <v>0.5</v>
      </c>
      <c r="AR14" s="57" t="n">
        <v>0.41</v>
      </c>
      <c r="AS14" s="57" t="n">
        <v>-0.09</v>
      </c>
      <c r="AT14" s="58" t="inlineStr">
        <is>
          <t>No</t>
        </is>
      </c>
      <c r="AU14" s="58" t="inlineStr">
        <is>
          <t>N/A</t>
        </is>
      </c>
      <c r="AV14" s="57" t="n">
        <v>0</v>
      </c>
      <c r="AW14" s="57" t="n">
        <v>0.08400000000000001</v>
      </c>
      <c r="AX14" s="57" t="n">
        <v>0.08400000000000001</v>
      </c>
      <c r="AY14" s="58" t="inlineStr">
        <is>
          <t>No</t>
        </is>
      </c>
      <c r="AZ14" s="58" t="inlineStr">
        <is>
          <t>N/A</t>
        </is>
      </c>
    </row>
    <row r="15">
      <c r="A15" s="55" t="inlineStr">
        <is>
          <t>family</t>
        </is>
      </c>
      <c r="B15" s="56" t="inlineStr">
        <is>
          <t>Genre</t>
        </is>
      </c>
      <c r="C15" s="57" t="n">
        <v>0</v>
      </c>
      <c r="D15" s="57" t="n">
        <v>0</v>
      </c>
      <c r="E15" s="57" t="n">
        <v>0</v>
      </c>
      <c r="F15" s="54" t="inlineStr">
        <is>
          <t>Yes</t>
        </is>
      </c>
      <c r="G15" s="58" t="inlineStr">
        <is>
          <t>N/A</t>
        </is>
      </c>
      <c r="H15" s="57" t="n">
        <v>0</v>
      </c>
      <c r="I15" s="57" t="n">
        <v>0</v>
      </c>
      <c r="J15" s="57" t="n">
        <v>0</v>
      </c>
      <c r="K15" s="54" t="inlineStr">
        <is>
          <t>Yes</t>
        </is>
      </c>
      <c r="L15" s="58" t="inlineStr">
        <is>
          <t>N/A</t>
        </is>
      </c>
      <c r="M15" s="57" t="n">
        <v>0</v>
      </c>
      <c r="N15" s="57" t="n">
        <v>0</v>
      </c>
      <c r="O15" s="57" t="n">
        <v>0</v>
      </c>
      <c r="P15" s="54" t="inlineStr">
        <is>
          <t>Yes</t>
        </is>
      </c>
      <c r="Q15" s="58" t="inlineStr">
        <is>
          <t>N/A</t>
        </is>
      </c>
      <c r="R15" s="57" t="n">
        <v>0</v>
      </c>
      <c r="S15" s="57" t="n">
        <v>0</v>
      </c>
      <c r="T15" s="57" t="n">
        <v>0</v>
      </c>
      <c r="U15" s="54" t="inlineStr">
        <is>
          <t>Yes</t>
        </is>
      </c>
      <c r="V15" s="58" t="inlineStr">
        <is>
          <t>N/A</t>
        </is>
      </c>
      <c r="W15" s="57" t="n">
        <v>0</v>
      </c>
      <c r="X15" s="57" t="n">
        <v>0</v>
      </c>
      <c r="Y15" s="57" t="n">
        <v>0</v>
      </c>
      <c r="Z15" s="54" t="inlineStr">
        <is>
          <t>Yes</t>
        </is>
      </c>
      <c r="AA15" s="58" t="inlineStr">
        <is>
          <t>N/A</t>
        </is>
      </c>
      <c r="AB15" s="57" t="n">
        <v>0</v>
      </c>
      <c r="AC15" s="57" t="n">
        <v>0</v>
      </c>
      <c r="AD15" s="57" t="n">
        <v>0</v>
      </c>
      <c r="AE15" s="54" t="inlineStr">
        <is>
          <t>Yes</t>
        </is>
      </c>
      <c r="AF15" s="58" t="inlineStr">
        <is>
          <t>N/A</t>
        </is>
      </c>
      <c r="AG15" s="57" t="n">
        <v>0</v>
      </c>
      <c r="AH15" s="57" t="n">
        <v>0</v>
      </c>
      <c r="AI15" s="57" t="n">
        <v>0</v>
      </c>
      <c r="AJ15" s="54" t="inlineStr">
        <is>
          <t>Yes</t>
        </is>
      </c>
      <c r="AK15" s="58" t="inlineStr">
        <is>
          <t>N/A</t>
        </is>
      </c>
      <c r="AL15" s="57" t="n">
        <v>0</v>
      </c>
      <c r="AM15" s="57" t="n">
        <v>0</v>
      </c>
      <c r="AN15" s="57" t="n">
        <v>0</v>
      </c>
      <c r="AO15" s="54" t="inlineStr">
        <is>
          <t>Yes</t>
        </is>
      </c>
      <c r="AP15" s="58" t="inlineStr">
        <is>
          <t>N/A</t>
        </is>
      </c>
      <c r="AQ15" s="57" t="n">
        <v>0</v>
      </c>
      <c r="AR15" s="57" t="n">
        <v>0</v>
      </c>
      <c r="AS15" s="57" t="n">
        <v>0</v>
      </c>
      <c r="AT15" s="54" t="inlineStr">
        <is>
          <t>Yes</t>
        </is>
      </c>
      <c r="AU15" s="58" t="inlineStr">
        <is>
          <t>N/A</t>
        </is>
      </c>
      <c r="AV15" s="57" t="n">
        <v>0</v>
      </c>
      <c r="AW15" s="57" t="n">
        <v>0</v>
      </c>
      <c r="AX15" s="57" t="n">
        <v>0</v>
      </c>
      <c r="AY15" s="54" t="inlineStr">
        <is>
          <t>Yes</t>
        </is>
      </c>
      <c r="AZ15" s="58" t="inlineStr">
        <is>
          <t>N/A</t>
        </is>
      </c>
    </row>
    <row r="16">
      <c r="A16" s="55" t="inlineStr">
        <is>
          <t>fantasy</t>
        </is>
      </c>
      <c r="B16" s="56" t="inlineStr">
        <is>
          <t>Genre</t>
        </is>
      </c>
      <c r="C16" s="57" t="n">
        <v>0.8</v>
      </c>
      <c r="D16" s="57" t="n">
        <v>0.8</v>
      </c>
      <c r="E16" s="57" t="n">
        <v>0</v>
      </c>
      <c r="F16" s="58" t="inlineStr">
        <is>
          <t>No</t>
        </is>
      </c>
      <c r="G16" s="58" t="inlineStr">
        <is>
          <t>N/A</t>
        </is>
      </c>
      <c r="H16" s="57" t="n">
        <v>0</v>
      </c>
      <c r="I16" s="57" t="n">
        <v>0.21</v>
      </c>
      <c r="J16" s="57" t="n">
        <v>0.21</v>
      </c>
      <c r="K16" s="58" t="inlineStr">
        <is>
          <t>No</t>
        </is>
      </c>
      <c r="L16" s="58" t="inlineStr">
        <is>
          <t>N/A</t>
        </is>
      </c>
      <c r="M16" s="57" t="n">
        <v>0</v>
      </c>
      <c r="N16" s="57" t="n">
        <v>0</v>
      </c>
      <c r="O16" s="57" t="n">
        <v>0</v>
      </c>
      <c r="P16" s="54" t="inlineStr">
        <is>
          <t>Yes</t>
        </is>
      </c>
      <c r="Q16" s="58" t="inlineStr">
        <is>
          <t>N/A</t>
        </is>
      </c>
      <c r="R16" s="57" t="n">
        <v>0.55</v>
      </c>
      <c r="S16" s="57" t="n">
        <v>0.55</v>
      </c>
      <c r="T16" s="57" t="n">
        <v>0</v>
      </c>
      <c r="U16" s="58" t="inlineStr">
        <is>
          <t>No</t>
        </is>
      </c>
      <c r="V16" s="58" t="inlineStr">
        <is>
          <t>N/A</t>
        </is>
      </c>
      <c r="W16" s="57" t="n">
        <v>0</v>
      </c>
      <c r="X16" s="57" t="n">
        <v>0</v>
      </c>
      <c r="Y16" s="57" t="n">
        <v>0</v>
      </c>
      <c r="Z16" s="54" t="inlineStr">
        <is>
          <t>Yes</t>
        </is>
      </c>
      <c r="AA16" s="58" t="inlineStr">
        <is>
          <t>N/A</t>
        </is>
      </c>
      <c r="AB16" s="57" t="n">
        <v>0.3</v>
      </c>
      <c r="AC16" s="57" t="n">
        <v>0.3</v>
      </c>
      <c r="AD16" s="57" t="n">
        <v>0</v>
      </c>
      <c r="AE16" s="58" t="inlineStr">
        <is>
          <t>No</t>
        </is>
      </c>
      <c r="AF16" s="58" t="inlineStr">
        <is>
          <t>N/A</t>
        </is>
      </c>
      <c r="AG16" s="57" t="n">
        <v>0</v>
      </c>
      <c r="AH16" s="57" t="n">
        <v>0</v>
      </c>
      <c r="AI16" s="57" t="n">
        <v>0</v>
      </c>
      <c r="AJ16" s="54" t="inlineStr">
        <is>
          <t>Yes</t>
        </is>
      </c>
      <c r="AK16" s="58" t="inlineStr">
        <is>
          <t>N/A</t>
        </is>
      </c>
      <c r="AL16" s="57" t="n">
        <v>0.8</v>
      </c>
      <c r="AM16" s="57" t="n">
        <v>1</v>
      </c>
      <c r="AN16" s="57" t="n">
        <v>0.2</v>
      </c>
      <c r="AO16" s="54" t="inlineStr">
        <is>
          <t>Yes</t>
        </is>
      </c>
      <c r="AP16" s="58" t="inlineStr">
        <is>
          <t>N/A</t>
        </is>
      </c>
      <c r="AQ16" s="57" t="n">
        <v>0</v>
      </c>
      <c r="AR16" s="57" t="n">
        <v>0</v>
      </c>
      <c r="AS16" s="57" t="n">
        <v>0</v>
      </c>
      <c r="AT16" s="54" t="inlineStr">
        <is>
          <t>Yes</t>
        </is>
      </c>
      <c r="AU16" s="58" t="inlineStr">
        <is>
          <t>N/A</t>
        </is>
      </c>
      <c r="AV16" s="57" t="n">
        <v>0</v>
      </c>
      <c r="AW16" s="57" t="n">
        <v>0</v>
      </c>
      <c r="AX16" s="57" t="n">
        <v>0</v>
      </c>
      <c r="AY16" s="54" t="inlineStr">
        <is>
          <t>Yes</t>
        </is>
      </c>
      <c r="AZ16" s="58" t="inlineStr">
        <is>
          <t>N/A</t>
        </is>
      </c>
    </row>
    <row r="17">
      <c r="A17" s="55" t="inlineStr">
        <is>
          <t>history</t>
        </is>
      </c>
      <c r="B17" s="56" t="inlineStr">
        <is>
          <t>Genre</t>
        </is>
      </c>
      <c r="C17" s="57" t="n">
        <v>0</v>
      </c>
      <c r="D17" s="57" t="n">
        <v>0</v>
      </c>
      <c r="E17" s="57" t="n">
        <v>0</v>
      </c>
      <c r="F17" s="54" t="inlineStr">
        <is>
          <t>Yes</t>
        </is>
      </c>
      <c r="G17" s="58" t="inlineStr">
        <is>
          <t>N/A</t>
        </is>
      </c>
      <c r="H17" s="57" t="n">
        <v>0.2</v>
      </c>
      <c r="I17" s="57" t="n">
        <v>0.5</v>
      </c>
      <c r="J17" s="57" t="n">
        <v>0.3</v>
      </c>
      <c r="K17" s="58" t="inlineStr">
        <is>
          <t>No</t>
        </is>
      </c>
      <c r="L17" s="58" t="inlineStr">
        <is>
          <t>N/A</t>
        </is>
      </c>
      <c r="M17" s="57" t="n">
        <v>0.3</v>
      </c>
      <c r="N17" s="57" t="n">
        <v>0.12</v>
      </c>
      <c r="O17" s="57" t="n">
        <v>-0.18</v>
      </c>
      <c r="P17" s="58" t="inlineStr">
        <is>
          <t>No</t>
        </is>
      </c>
      <c r="Q17" s="58" t="inlineStr">
        <is>
          <t>N/A</t>
        </is>
      </c>
      <c r="R17" s="57" t="n">
        <v>0</v>
      </c>
      <c r="S17" s="57" t="n">
        <v>0</v>
      </c>
      <c r="T17" s="57" t="n">
        <v>0</v>
      </c>
      <c r="U17" s="54" t="inlineStr">
        <is>
          <t>Yes</t>
        </is>
      </c>
      <c r="V17" s="58" t="inlineStr">
        <is>
          <t>N/A</t>
        </is>
      </c>
      <c r="W17" s="57" t="n">
        <v>0</v>
      </c>
      <c r="X17" s="57" t="n">
        <v>0</v>
      </c>
      <c r="Y17" s="57" t="n">
        <v>0</v>
      </c>
      <c r="Z17" s="54" t="inlineStr">
        <is>
          <t>Yes</t>
        </is>
      </c>
      <c r="AA17" s="58" t="inlineStr">
        <is>
          <t>N/A</t>
        </is>
      </c>
      <c r="AB17" s="57" t="n">
        <v>0</v>
      </c>
      <c r="AC17" s="57" t="n">
        <v>0.3</v>
      </c>
      <c r="AD17" s="57" t="n">
        <v>0.3</v>
      </c>
      <c r="AE17" s="58" t="inlineStr">
        <is>
          <t>No</t>
        </is>
      </c>
      <c r="AF17" s="58" t="inlineStr">
        <is>
          <t>N/A</t>
        </is>
      </c>
      <c r="AG17" s="57" t="n">
        <v>0.3</v>
      </c>
      <c r="AH17" s="57" t="n">
        <v>0.12</v>
      </c>
      <c r="AI17" s="57" t="n">
        <v>-0.18</v>
      </c>
      <c r="AJ17" s="58" t="inlineStr">
        <is>
          <t>No</t>
        </is>
      </c>
      <c r="AK17" s="58" t="inlineStr">
        <is>
          <t>N/A</t>
        </is>
      </c>
      <c r="AL17" s="57" t="n">
        <v>0</v>
      </c>
      <c r="AM17" s="57" t="n">
        <v>0.3</v>
      </c>
      <c r="AN17" s="57" t="n">
        <v>0.3</v>
      </c>
      <c r="AO17" s="58" t="inlineStr">
        <is>
          <t>No</t>
        </is>
      </c>
      <c r="AP17" s="58" t="inlineStr">
        <is>
          <t>N/A</t>
        </is>
      </c>
      <c r="AQ17" s="57" t="n">
        <v>0.25</v>
      </c>
      <c r="AR17" s="57" t="n">
        <v>0.1</v>
      </c>
      <c r="AS17" s="57" t="n">
        <v>-0.15</v>
      </c>
      <c r="AT17" s="58" t="inlineStr">
        <is>
          <t>No</t>
        </is>
      </c>
      <c r="AU17" s="58" t="inlineStr">
        <is>
          <t>N/A</t>
        </is>
      </c>
      <c r="AV17" s="57" t="n">
        <v>0</v>
      </c>
      <c r="AW17" s="57" t="n">
        <v>0</v>
      </c>
      <c r="AX17" s="57" t="n">
        <v>0</v>
      </c>
      <c r="AY17" s="54" t="inlineStr">
        <is>
          <t>Yes</t>
        </is>
      </c>
      <c r="AZ17" s="58" t="inlineStr">
        <is>
          <t>N/A</t>
        </is>
      </c>
    </row>
    <row r="18">
      <c r="A18" s="55" t="inlineStr">
        <is>
          <t>horror</t>
        </is>
      </c>
      <c r="B18" s="56" t="inlineStr">
        <is>
          <t>Genre</t>
        </is>
      </c>
      <c r="C18" s="57" t="n">
        <v>0.9</v>
      </c>
      <c r="D18" s="57" t="n">
        <v>1</v>
      </c>
      <c r="E18" s="57" t="n">
        <v>0.1</v>
      </c>
      <c r="F18" s="54" t="inlineStr">
        <is>
          <t>Yes</t>
        </is>
      </c>
      <c r="G18" s="58" t="inlineStr">
        <is>
          <t>N/A</t>
        </is>
      </c>
      <c r="H18" s="57" t="n">
        <v>0</v>
      </c>
      <c r="I18" s="57" t="n">
        <v>0</v>
      </c>
      <c r="J18" s="57" t="n">
        <v>0</v>
      </c>
      <c r="K18" s="54" t="inlineStr">
        <is>
          <t>Yes</t>
        </is>
      </c>
      <c r="L18" s="58" t="inlineStr">
        <is>
          <t>N/A</t>
        </is>
      </c>
      <c r="M18" s="57" t="n">
        <v>0</v>
      </c>
      <c r="N18" s="57" t="n">
        <v>0.3</v>
      </c>
      <c r="O18" s="57" t="n">
        <v>0.3</v>
      </c>
      <c r="P18" s="58" t="inlineStr">
        <is>
          <t>No</t>
        </is>
      </c>
      <c r="Q18" s="58" t="inlineStr">
        <is>
          <t>N/A</t>
        </is>
      </c>
      <c r="R18" s="57" t="n">
        <v>0</v>
      </c>
      <c r="S18" s="57" t="n">
        <v>0.3</v>
      </c>
      <c r="T18" s="57" t="n">
        <v>0.3</v>
      </c>
      <c r="U18" s="58" t="inlineStr">
        <is>
          <t>No</t>
        </is>
      </c>
      <c r="V18" s="58" t="inlineStr">
        <is>
          <t>N/A</t>
        </is>
      </c>
      <c r="W18" s="57" t="n">
        <v>0</v>
      </c>
      <c r="X18" s="57" t="n">
        <v>0.3</v>
      </c>
      <c r="Y18" s="57" t="n">
        <v>0.3</v>
      </c>
      <c r="Z18" s="58" t="inlineStr">
        <is>
          <t>No</t>
        </is>
      </c>
      <c r="AA18" s="58" t="inlineStr">
        <is>
          <t>N/A</t>
        </is>
      </c>
      <c r="AB18" s="57" t="n">
        <v>0</v>
      </c>
      <c r="AC18" s="57" t="n">
        <v>0</v>
      </c>
      <c r="AD18" s="57" t="n">
        <v>0</v>
      </c>
      <c r="AE18" s="54" t="inlineStr">
        <is>
          <t>Yes</t>
        </is>
      </c>
      <c r="AF18" s="58" t="inlineStr">
        <is>
          <t>N/A</t>
        </is>
      </c>
      <c r="AG18" s="57" t="n">
        <v>0</v>
      </c>
      <c r="AH18" s="57" t="n">
        <v>0.3</v>
      </c>
      <c r="AI18" s="57" t="n">
        <v>0.3</v>
      </c>
      <c r="AJ18" s="58" t="inlineStr">
        <is>
          <t>No</t>
        </is>
      </c>
      <c r="AK18" s="58" t="inlineStr">
        <is>
          <t>N/A</t>
        </is>
      </c>
      <c r="AL18" s="57" t="n">
        <v>0</v>
      </c>
      <c r="AM18" s="57" t="n">
        <v>0.3</v>
      </c>
      <c r="AN18" s="57" t="n">
        <v>0.3</v>
      </c>
      <c r="AO18" s="58" t="inlineStr">
        <is>
          <t>No</t>
        </is>
      </c>
      <c r="AP18" s="58" t="inlineStr">
        <is>
          <t>N/A</t>
        </is>
      </c>
      <c r="AQ18" s="57" t="n">
        <v>0</v>
      </c>
      <c r="AR18" s="57" t="n">
        <v>0</v>
      </c>
      <c r="AS18" s="57" t="n">
        <v>0</v>
      </c>
      <c r="AT18" s="54" t="inlineStr">
        <is>
          <t>Yes</t>
        </is>
      </c>
      <c r="AU18" s="58" t="inlineStr">
        <is>
          <t>N/A</t>
        </is>
      </c>
      <c r="AV18" s="57" t="n">
        <v>0</v>
      </c>
      <c r="AW18" s="57" t="n">
        <v>0.3</v>
      </c>
      <c r="AX18" s="57" t="n">
        <v>0.3</v>
      </c>
      <c r="AY18" s="58" t="inlineStr">
        <is>
          <t>No</t>
        </is>
      </c>
      <c r="AZ18" s="58" t="inlineStr">
        <is>
          <t>N/A</t>
        </is>
      </c>
    </row>
    <row r="19">
      <c r="A19" s="55" t="inlineStr">
        <is>
          <t>musical</t>
        </is>
      </c>
      <c r="B19" s="56" t="inlineStr">
        <is>
          <t>Genre</t>
        </is>
      </c>
      <c r="C19" s="57" t="n">
        <v>0</v>
      </c>
      <c r="D19" s="57" t="n">
        <v>0</v>
      </c>
      <c r="E19" s="57" t="n">
        <v>0</v>
      </c>
      <c r="F19" s="54" t="inlineStr">
        <is>
          <t>Yes</t>
        </is>
      </c>
      <c r="G19" s="58" t="inlineStr">
        <is>
          <t>N/A</t>
        </is>
      </c>
      <c r="H19" s="57" t="n">
        <v>0</v>
      </c>
      <c r="I19" s="57" t="n">
        <v>0.3</v>
      </c>
      <c r="J19" s="57" t="n">
        <v>0.3</v>
      </c>
      <c r="K19" s="58" t="inlineStr">
        <is>
          <t>No</t>
        </is>
      </c>
      <c r="L19" s="58" t="inlineStr">
        <is>
          <t>N/A</t>
        </is>
      </c>
      <c r="M19" s="57" t="n">
        <v>0</v>
      </c>
      <c r="N19" s="57" t="n">
        <v>0</v>
      </c>
      <c r="O19" s="57" t="n">
        <v>0</v>
      </c>
      <c r="P19" s="54" t="inlineStr">
        <is>
          <t>Yes</t>
        </is>
      </c>
      <c r="Q19" s="58" t="inlineStr">
        <is>
          <t>N/A</t>
        </is>
      </c>
      <c r="R19" s="57" t="n">
        <v>0</v>
      </c>
      <c r="S19" s="57" t="n">
        <v>0</v>
      </c>
      <c r="T19" s="57" t="n">
        <v>0</v>
      </c>
      <c r="U19" s="54" t="inlineStr">
        <is>
          <t>Yes</t>
        </is>
      </c>
      <c r="V19" s="58" t="inlineStr">
        <is>
          <t>N/A</t>
        </is>
      </c>
      <c r="W19" s="57" t="n">
        <v>0</v>
      </c>
      <c r="X19" s="57" t="n">
        <v>0.3</v>
      </c>
      <c r="Y19" s="57" t="n">
        <v>0.3</v>
      </c>
      <c r="Z19" s="58" t="inlineStr">
        <is>
          <t>No</t>
        </is>
      </c>
      <c r="AA19" s="58" t="inlineStr">
        <is>
          <t>N/A</t>
        </is>
      </c>
      <c r="AB19" s="57" t="n">
        <v>0</v>
      </c>
      <c r="AC19" s="57" t="n">
        <v>0.3</v>
      </c>
      <c r="AD19" s="57" t="n">
        <v>0.3</v>
      </c>
      <c r="AE19" s="58" t="inlineStr">
        <is>
          <t>No</t>
        </is>
      </c>
      <c r="AF19" s="58" t="inlineStr">
        <is>
          <t>N/A</t>
        </is>
      </c>
      <c r="AG19" s="57" t="n">
        <v>0</v>
      </c>
      <c r="AH19" s="57" t="n">
        <v>0</v>
      </c>
      <c r="AI19" s="57" t="n">
        <v>0</v>
      </c>
      <c r="AJ19" s="54" t="inlineStr">
        <is>
          <t>Yes</t>
        </is>
      </c>
      <c r="AK19" s="58" t="inlineStr">
        <is>
          <t>N/A</t>
        </is>
      </c>
      <c r="AL19" s="57" t="n">
        <v>0</v>
      </c>
      <c r="AM19" s="57" t="n">
        <v>0.3</v>
      </c>
      <c r="AN19" s="57" t="n">
        <v>0.3</v>
      </c>
      <c r="AO19" s="58" t="inlineStr">
        <is>
          <t>No</t>
        </is>
      </c>
      <c r="AP19" s="58" t="inlineStr">
        <is>
          <t>N/A</t>
        </is>
      </c>
      <c r="AQ19" s="57" t="n">
        <v>0</v>
      </c>
      <c r="AR19" s="57" t="n">
        <v>0</v>
      </c>
      <c r="AS19" s="57" t="n">
        <v>0</v>
      </c>
      <c r="AT19" s="54" t="inlineStr">
        <is>
          <t>Yes</t>
        </is>
      </c>
      <c r="AU19" s="58" t="inlineStr">
        <is>
          <t>N/A</t>
        </is>
      </c>
      <c r="AV19" s="57" t="n">
        <v>0</v>
      </c>
      <c r="AW19" s="57" t="n">
        <v>0</v>
      </c>
      <c r="AX19" s="57" t="n">
        <v>0</v>
      </c>
      <c r="AY19" s="54" t="inlineStr">
        <is>
          <t>Yes</t>
        </is>
      </c>
      <c r="AZ19" s="58" t="inlineStr">
        <is>
          <t>N/A</t>
        </is>
      </c>
    </row>
    <row r="20">
      <c r="A20" s="55" t="inlineStr">
        <is>
          <t>mystery</t>
        </is>
      </c>
      <c r="B20" s="56" t="inlineStr">
        <is>
          <t>Genre</t>
        </is>
      </c>
      <c r="C20" s="57" t="n">
        <v>0.2</v>
      </c>
      <c r="D20" s="57" t="n">
        <v>0.2</v>
      </c>
      <c r="E20" s="57" t="n">
        <v>0</v>
      </c>
      <c r="F20" s="58" t="inlineStr">
        <is>
          <t>No</t>
        </is>
      </c>
      <c r="G20" s="58" t="inlineStr">
        <is>
          <t>N/A</t>
        </is>
      </c>
      <c r="H20" s="57" t="n">
        <v>0</v>
      </c>
      <c r="I20" s="57" t="n">
        <v>0</v>
      </c>
      <c r="J20" s="57" t="n">
        <v>0</v>
      </c>
      <c r="K20" s="54" t="inlineStr">
        <is>
          <t>Yes</t>
        </is>
      </c>
      <c r="L20" s="58" t="inlineStr">
        <is>
          <t>N/A</t>
        </is>
      </c>
      <c r="M20" s="57" t="n">
        <v>0.3</v>
      </c>
      <c r="N20" s="57" t="n">
        <v>0.3</v>
      </c>
      <c r="O20" s="57" t="n">
        <v>0</v>
      </c>
      <c r="P20" s="58" t="inlineStr">
        <is>
          <t>No</t>
        </is>
      </c>
      <c r="Q20" s="58" t="inlineStr">
        <is>
          <t>N/A</t>
        </is>
      </c>
      <c r="R20" s="57" t="n">
        <v>0</v>
      </c>
      <c r="S20" s="57" t="n">
        <v>0</v>
      </c>
      <c r="T20" s="57" t="n">
        <v>0</v>
      </c>
      <c r="U20" s="54" t="inlineStr">
        <is>
          <t>Yes</t>
        </is>
      </c>
      <c r="V20" s="58" t="inlineStr">
        <is>
          <t>N/A</t>
        </is>
      </c>
      <c r="W20" s="57" t="n">
        <v>0</v>
      </c>
      <c r="X20" s="57" t="n">
        <v>0</v>
      </c>
      <c r="Y20" s="57" t="n">
        <v>0</v>
      </c>
      <c r="Z20" s="54" t="inlineStr">
        <is>
          <t>Yes</t>
        </is>
      </c>
      <c r="AA20" s="58" t="inlineStr">
        <is>
          <t>N/A</t>
        </is>
      </c>
      <c r="AB20" s="57" t="n">
        <v>0</v>
      </c>
      <c r="AC20" s="57" t="n">
        <v>0</v>
      </c>
      <c r="AD20" s="57" t="n">
        <v>0</v>
      </c>
      <c r="AE20" s="54" t="inlineStr">
        <is>
          <t>Yes</t>
        </is>
      </c>
      <c r="AF20" s="58" t="inlineStr">
        <is>
          <t>N/A</t>
        </is>
      </c>
      <c r="AG20" s="57" t="n">
        <v>0</v>
      </c>
      <c r="AH20" s="57" t="n">
        <v>0</v>
      </c>
      <c r="AI20" s="57" t="n">
        <v>0</v>
      </c>
      <c r="AJ20" s="54" t="inlineStr">
        <is>
          <t>Yes</t>
        </is>
      </c>
      <c r="AK20" s="58" t="inlineStr">
        <is>
          <t>N/A</t>
        </is>
      </c>
      <c r="AL20" s="57" t="n">
        <v>0.3</v>
      </c>
      <c r="AM20" s="57" t="n">
        <v>0.3</v>
      </c>
      <c r="AN20" s="57" t="n">
        <v>0</v>
      </c>
      <c r="AO20" s="58" t="inlineStr">
        <is>
          <t>No</t>
        </is>
      </c>
      <c r="AP20" s="58" t="inlineStr">
        <is>
          <t>N/A</t>
        </is>
      </c>
      <c r="AQ20" s="57" t="n">
        <v>0</v>
      </c>
      <c r="AR20" s="57" t="n">
        <v>0</v>
      </c>
      <c r="AS20" s="57" t="n">
        <v>0</v>
      </c>
      <c r="AT20" s="54" t="inlineStr">
        <is>
          <t>Yes</t>
        </is>
      </c>
      <c r="AU20" s="58" t="inlineStr">
        <is>
          <t>N/A</t>
        </is>
      </c>
      <c r="AV20" s="57" t="n">
        <v>0.3</v>
      </c>
      <c r="AW20" s="57" t="n">
        <v>0.12</v>
      </c>
      <c r="AX20" s="57" t="n">
        <v>-0.18</v>
      </c>
      <c r="AY20" s="58" t="inlineStr">
        <is>
          <t>No</t>
        </is>
      </c>
      <c r="AZ20" s="58" t="inlineStr">
        <is>
          <t>N/A</t>
        </is>
      </c>
    </row>
    <row r="21">
      <c r="A21" s="55" t="inlineStr">
        <is>
          <t>reality</t>
        </is>
      </c>
      <c r="B21" s="56" t="inlineStr">
        <is>
          <t>Genre</t>
        </is>
      </c>
      <c r="C21" s="57" t="n">
        <v>0</v>
      </c>
      <c r="D21" s="57" t="n">
        <v>0</v>
      </c>
      <c r="E21" s="57" t="n">
        <v>0</v>
      </c>
      <c r="F21" s="54" t="inlineStr">
        <is>
          <t>Yes</t>
        </is>
      </c>
      <c r="G21" s="58" t="inlineStr">
        <is>
          <t>N/A</t>
        </is>
      </c>
      <c r="H21" s="57" t="n">
        <v>0</v>
      </c>
      <c r="I21" s="57" t="n">
        <v>0</v>
      </c>
      <c r="J21" s="57" t="n">
        <v>0</v>
      </c>
      <c r="K21" s="54" t="inlineStr">
        <is>
          <t>Yes</t>
        </is>
      </c>
      <c r="L21" s="58" t="inlineStr">
        <is>
          <t>N/A</t>
        </is>
      </c>
      <c r="M21" s="57" t="n">
        <v>0</v>
      </c>
      <c r="N21" s="57" t="n">
        <v>0</v>
      </c>
      <c r="O21" s="57" t="n">
        <v>0</v>
      </c>
      <c r="P21" s="54" t="inlineStr">
        <is>
          <t>Yes</t>
        </is>
      </c>
      <c r="Q21" s="58" t="inlineStr">
        <is>
          <t>N/A</t>
        </is>
      </c>
      <c r="R21" s="57" t="n">
        <v>0</v>
      </c>
      <c r="S21" s="57" t="n">
        <v>0</v>
      </c>
      <c r="T21" s="57" t="n">
        <v>0</v>
      </c>
      <c r="U21" s="54" t="inlineStr">
        <is>
          <t>Yes</t>
        </is>
      </c>
      <c r="V21" s="58" t="inlineStr">
        <is>
          <t>N/A</t>
        </is>
      </c>
      <c r="W21" s="57" t="n">
        <v>0.9</v>
      </c>
      <c r="X21" s="57" t="n">
        <v>0.9</v>
      </c>
      <c r="Y21" s="57" t="n">
        <v>0</v>
      </c>
      <c r="Z21" s="58" t="inlineStr">
        <is>
          <t>No</t>
        </is>
      </c>
      <c r="AA21" s="58" t="inlineStr">
        <is>
          <t>N/A</t>
        </is>
      </c>
      <c r="AB21" s="57" t="n">
        <v>0</v>
      </c>
      <c r="AC21" s="57" t="n">
        <v>0</v>
      </c>
      <c r="AD21" s="57" t="n">
        <v>0</v>
      </c>
      <c r="AE21" s="54" t="inlineStr">
        <is>
          <t>Yes</t>
        </is>
      </c>
      <c r="AF21" s="58" t="inlineStr">
        <is>
          <t>N/A</t>
        </is>
      </c>
      <c r="AG21" s="57" t="n">
        <v>0</v>
      </c>
      <c r="AH21" s="57" t="n">
        <v>0</v>
      </c>
      <c r="AI21" s="57" t="n">
        <v>0</v>
      </c>
      <c r="AJ21" s="54" t="inlineStr">
        <is>
          <t>Yes</t>
        </is>
      </c>
      <c r="AK21" s="58" t="inlineStr">
        <is>
          <t>N/A</t>
        </is>
      </c>
      <c r="AL21" s="57" t="n">
        <v>0</v>
      </c>
      <c r="AM21" s="57" t="n">
        <v>0</v>
      </c>
      <c r="AN21" s="57" t="n">
        <v>0</v>
      </c>
      <c r="AO21" s="54" t="inlineStr">
        <is>
          <t>Yes</t>
        </is>
      </c>
      <c r="AP21" s="58" t="inlineStr">
        <is>
          <t>N/A</t>
        </is>
      </c>
      <c r="AQ21" s="57" t="n">
        <v>0</v>
      </c>
      <c r="AR21" s="57" t="n">
        <v>0</v>
      </c>
      <c r="AS21" s="57" t="n">
        <v>0</v>
      </c>
      <c r="AT21" s="54" t="inlineStr">
        <is>
          <t>Yes</t>
        </is>
      </c>
      <c r="AU21" s="58" t="inlineStr">
        <is>
          <t>N/A</t>
        </is>
      </c>
      <c r="AV21" s="57" t="n">
        <v>0</v>
      </c>
      <c r="AW21" s="57" t="n">
        <v>0</v>
      </c>
      <c r="AX21" s="57" t="n">
        <v>0</v>
      </c>
      <c r="AY21" s="54" t="inlineStr">
        <is>
          <t>Yes</t>
        </is>
      </c>
      <c r="AZ21" s="58" t="inlineStr">
        <is>
          <t>N/A</t>
        </is>
      </c>
    </row>
    <row r="22">
      <c r="A22" s="55" t="inlineStr">
        <is>
          <t>romance</t>
        </is>
      </c>
      <c r="B22" s="56" t="inlineStr">
        <is>
          <t>Genre</t>
        </is>
      </c>
      <c r="C22" s="57" t="n">
        <v>0</v>
      </c>
      <c r="D22" s="57" t="n">
        <v>0</v>
      </c>
      <c r="E22" s="57" t="n">
        <v>0</v>
      </c>
      <c r="F22" s="54" t="inlineStr">
        <is>
          <t>Yes</t>
        </is>
      </c>
      <c r="G22" s="58" t="inlineStr">
        <is>
          <t>N/A</t>
        </is>
      </c>
      <c r="H22" s="57" t="n">
        <v>0.9</v>
      </c>
      <c r="I22" s="57" t="n">
        <v>1</v>
      </c>
      <c r="J22" s="57" t="n">
        <v>0.1</v>
      </c>
      <c r="K22" s="54" t="inlineStr">
        <is>
          <t>Yes</t>
        </is>
      </c>
      <c r="L22" s="58" t="inlineStr">
        <is>
          <t>N/A</t>
        </is>
      </c>
      <c r="M22" s="57" t="n">
        <v>0</v>
      </c>
      <c r="N22" s="57" t="n">
        <v>0</v>
      </c>
      <c r="O22" s="57" t="n">
        <v>0</v>
      </c>
      <c r="P22" s="54" t="inlineStr">
        <is>
          <t>Yes</t>
        </is>
      </c>
      <c r="Q22" s="58" t="inlineStr">
        <is>
          <t>N/A</t>
        </is>
      </c>
      <c r="R22" s="57" t="n">
        <v>0</v>
      </c>
      <c r="S22" s="57" t="n">
        <v>0</v>
      </c>
      <c r="T22" s="57" t="n">
        <v>0</v>
      </c>
      <c r="U22" s="54" t="inlineStr">
        <is>
          <t>Yes</t>
        </is>
      </c>
      <c r="V22" s="58" t="inlineStr">
        <is>
          <t>N/A</t>
        </is>
      </c>
      <c r="W22" s="57" t="n">
        <v>0.9</v>
      </c>
      <c r="X22" s="57" t="n">
        <v>1</v>
      </c>
      <c r="Y22" s="57" t="n">
        <v>0.1</v>
      </c>
      <c r="Z22" s="54" t="inlineStr">
        <is>
          <t>Yes</t>
        </is>
      </c>
      <c r="AA22" s="58" t="inlineStr">
        <is>
          <t>N/A</t>
        </is>
      </c>
      <c r="AB22" s="57" t="n">
        <v>0.9</v>
      </c>
      <c r="AC22" s="57" t="n">
        <v>1</v>
      </c>
      <c r="AD22" s="57" t="n">
        <v>0.1</v>
      </c>
      <c r="AE22" s="54" t="inlineStr">
        <is>
          <t>Yes</t>
        </is>
      </c>
      <c r="AF22" s="58" t="inlineStr">
        <is>
          <t>N/A</t>
        </is>
      </c>
      <c r="AG22" s="57" t="n">
        <v>0.9</v>
      </c>
      <c r="AH22" s="57" t="n">
        <v>1</v>
      </c>
      <c r="AI22" s="57" t="n">
        <v>0.1</v>
      </c>
      <c r="AJ22" s="54" t="inlineStr">
        <is>
          <t>Yes</t>
        </is>
      </c>
      <c r="AK22" s="58" t="inlineStr">
        <is>
          <t>N/A</t>
        </is>
      </c>
      <c r="AL22" s="57" t="n">
        <v>0</v>
      </c>
      <c r="AM22" s="57" t="n">
        <v>0.72</v>
      </c>
      <c r="AN22" s="57" t="n">
        <v>0.72</v>
      </c>
      <c r="AO22" s="58" t="inlineStr">
        <is>
          <t>No</t>
        </is>
      </c>
      <c r="AP22" s="58" t="inlineStr">
        <is>
          <t>N/A</t>
        </is>
      </c>
      <c r="AQ22" s="57" t="n">
        <v>0</v>
      </c>
      <c r="AR22" s="57" t="n">
        <v>0</v>
      </c>
      <c r="AS22" s="57" t="n">
        <v>0</v>
      </c>
      <c r="AT22" s="54" t="inlineStr">
        <is>
          <t>Yes</t>
        </is>
      </c>
      <c r="AU22" s="58" t="inlineStr">
        <is>
          <t>N/A</t>
        </is>
      </c>
      <c r="AV22" s="57" t="n">
        <v>0</v>
      </c>
      <c r="AW22" s="57" t="n">
        <v>0</v>
      </c>
      <c r="AX22" s="57" t="n">
        <v>0</v>
      </c>
      <c r="AY22" s="54" t="inlineStr">
        <is>
          <t>Yes</t>
        </is>
      </c>
      <c r="AZ22" s="58" t="inlineStr">
        <is>
          <t>N/A</t>
        </is>
      </c>
    </row>
    <row r="23">
      <c r="A23" s="55" t="inlineStr">
        <is>
          <t>scifi</t>
        </is>
      </c>
      <c r="B23" s="56" t="inlineStr">
        <is>
          <t>Genre</t>
        </is>
      </c>
      <c r="C23" s="57" t="n">
        <v>0.8</v>
      </c>
      <c r="D23" s="57" t="n">
        <v>1</v>
      </c>
      <c r="E23" s="57" t="n">
        <v>0.2</v>
      </c>
      <c r="F23" s="54" t="inlineStr">
        <is>
          <t>Yes</t>
        </is>
      </c>
      <c r="G23" s="58" t="inlineStr">
        <is>
          <t>N/A</t>
        </is>
      </c>
      <c r="H23" s="57" t="n">
        <v>0</v>
      </c>
      <c r="I23" s="57" t="n">
        <v>0</v>
      </c>
      <c r="J23" s="57" t="n">
        <v>0</v>
      </c>
      <c r="K23" s="54" t="inlineStr">
        <is>
          <t>Yes</t>
        </is>
      </c>
      <c r="L23" s="58" t="inlineStr">
        <is>
          <t>N/A</t>
        </is>
      </c>
      <c r="M23" s="57" t="n">
        <v>0</v>
      </c>
      <c r="N23" s="57" t="n">
        <v>0.6</v>
      </c>
      <c r="O23" s="57" t="n">
        <v>0.6</v>
      </c>
      <c r="P23" s="58" t="inlineStr">
        <is>
          <t>No</t>
        </is>
      </c>
      <c r="Q23" s="58" t="inlineStr">
        <is>
          <t>N/A</t>
        </is>
      </c>
      <c r="R23" s="57" t="n">
        <v>0.8</v>
      </c>
      <c r="S23" s="57" t="n">
        <v>1</v>
      </c>
      <c r="T23" s="57" t="n">
        <v>0.2</v>
      </c>
      <c r="U23" s="54" t="inlineStr">
        <is>
          <t>Yes</t>
        </is>
      </c>
      <c r="V23" s="58" t="inlineStr">
        <is>
          <t>N/A</t>
        </is>
      </c>
      <c r="W23" s="57" t="n">
        <v>0</v>
      </c>
      <c r="X23" s="57" t="n">
        <v>0.12</v>
      </c>
      <c r="Y23" s="57" t="n">
        <v>0.12</v>
      </c>
      <c r="Z23" s="58" t="inlineStr">
        <is>
          <t>No</t>
        </is>
      </c>
      <c r="AA23" s="58" t="inlineStr">
        <is>
          <t>N/A</t>
        </is>
      </c>
      <c r="AB23" s="57" t="n">
        <v>0</v>
      </c>
      <c r="AC23" s="57" t="n">
        <v>0</v>
      </c>
      <c r="AD23" s="57" t="n">
        <v>0</v>
      </c>
      <c r="AE23" s="54" t="inlineStr">
        <is>
          <t>Yes</t>
        </is>
      </c>
      <c r="AF23" s="58" t="inlineStr">
        <is>
          <t>N/A</t>
        </is>
      </c>
      <c r="AG23" s="57" t="n">
        <v>0</v>
      </c>
      <c r="AH23" s="57" t="n">
        <v>0.12</v>
      </c>
      <c r="AI23" s="57" t="n">
        <v>0.12</v>
      </c>
      <c r="AJ23" s="58" t="inlineStr">
        <is>
          <t>No</t>
        </is>
      </c>
      <c r="AK23" s="58" t="inlineStr">
        <is>
          <t>N/A</t>
        </is>
      </c>
      <c r="AL23" s="57" t="n">
        <v>0.8</v>
      </c>
      <c r="AM23" s="57" t="n">
        <v>1</v>
      </c>
      <c r="AN23" s="57" t="n">
        <v>0.2</v>
      </c>
      <c r="AO23" s="54" t="inlineStr">
        <is>
          <t>Yes</t>
        </is>
      </c>
      <c r="AP23" s="58" t="inlineStr">
        <is>
          <t>N/A</t>
        </is>
      </c>
      <c r="AQ23" s="57" t="n">
        <v>0</v>
      </c>
      <c r="AR23" s="57" t="n">
        <v>0</v>
      </c>
      <c r="AS23" s="57" t="n">
        <v>0</v>
      </c>
      <c r="AT23" s="54" t="inlineStr">
        <is>
          <t>Yes</t>
        </is>
      </c>
      <c r="AU23" s="58" t="inlineStr">
        <is>
          <t>N/A</t>
        </is>
      </c>
      <c r="AV23" s="57" t="n">
        <v>0</v>
      </c>
      <c r="AW23" s="57" t="n">
        <v>0.6</v>
      </c>
      <c r="AX23" s="57" t="n">
        <v>0.6</v>
      </c>
      <c r="AY23" s="58" t="inlineStr">
        <is>
          <t>No</t>
        </is>
      </c>
      <c r="AZ23" s="58" t="inlineStr">
        <is>
          <t>N/A</t>
        </is>
      </c>
    </row>
    <row r="24">
      <c r="A24" s="55" t="inlineStr">
        <is>
          <t>thriller</t>
        </is>
      </c>
      <c r="B24" s="56" t="inlineStr">
        <is>
          <t>Genre</t>
        </is>
      </c>
      <c r="C24" s="57" t="n">
        <v>0.35</v>
      </c>
      <c r="D24" s="57" t="n">
        <v>0.77</v>
      </c>
      <c r="E24" s="57" t="n">
        <v>0.42</v>
      </c>
      <c r="F24" s="58" t="inlineStr">
        <is>
          <t>No</t>
        </is>
      </c>
      <c r="G24" s="58" t="inlineStr">
        <is>
          <t>N/A</t>
        </is>
      </c>
      <c r="H24" s="57" t="n">
        <v>0</v>
      </c>
      <c r="I24" s="57" t="n">
        <v>0</v>
      </c>
      <c r="J24" s="57" t="n">
        <v>0</v>
      </c>
      <c r="K24" s="54" t="inlineStr">
        <is>
          <t>Yes</t>
        </is>
      </c>
      <c r="L24" s="58" t="inlineStr">
        <is>
          <t>N/A</t>
        </is>
      </c>
      <c r="M24" s="57" t="n">
        <v>0.6</v>
      </c>
      <c r="N24" s="57" t="n">
        <v>1</v>
      </c>
      <c r="O24" s="57" t="n">
        <v>0.4</v>
      </c>
      <c r="P24" s="54" t="inlineStr">
        <is>
          <t>Yes</t>
        </is>
      </c>
      <c r="Q24" s="58" t="inlineStr">
        <is>
          <t>N/A</t>
        </is>
      </c>
      <c r="R24" s="57" t="n">
        <v>0</v>
      </c>
      <c r="S24" s="57" t="n">
        <v>0.21</v>
      </c>
      <c r="T24" s="57" t="n">
        <v>0.21</v>
      </c>
      <c r="U24" s="58" t="inlineStr">
        <is>
          <t>No</t>
        </is>
      </c>
      <c r="V24" s="58" t="inlineStr">
        <is>
          <t>N/A</t>
        </is>
      </c>
      <c r="W24" s="57" t="n">
        <v>0</v>
      </c>
      <c r="X24" s="57" t="n">
        <v>0</v>
      </c>
      <c r="Y24" s="57" t="n">
        <v>0</v>
      </c>
      <c r="Z24" s="54" t="inlineStr">
        <is>
          <t>Yes</t>
        </is>
      </c>
      <c r="AA24" s="58" t="inlineStr">
        <is>
          <t>N/A</t>
        </is>
      </c>
      <c r="AB24" s="57" t="n">
        <v>0</v>
      </c>
      <c r="AC24" s="57" t="n">
        <v>0</v>
      </c>
      <c r="AD24" s="57" t="n">
        <v>0</v>
      </c>
      <c r="AE24" s="54" t="inlineStr">
        <is>
          <t>Yes</t>
        </is>
      </c>
      <c r="AF24" s="58" t="inlineStr">
        <is>
          <t>N/A</t>
        </is>
      </c>
      <c r="AG24" s="57" t="n">
        <v>0.3</v>
      </c>
      <c r="AH24" s="57" t="n">
        <v>0.3</v>
      </c>
      <c r="AI24" s="57" t="n">
        <v>0</v>
      </c>
      <c r="AJ24" s="58" t="inlineStr">
        <is>
          <t>No</t>
        </is>
      </c>
      <c r="AK24" s="58" t="inlineStr">
        <is>
          <t>N/A</t>
        </is>
      </c>
      <c r="AL24" s="57" t="n">
        <v>0.9</v>
      </c>
      <c r="AM24" s="57" t="n">
        <v>0.9</v>
      </c>
      <c r="AN24" s="57" t="n">
        <v>0</v>
      </c>
      <c r="AO24" s="58" t="inlineStr">
        <is>
          <t>No</t>
        </is>
      </c>
      <c r="AP24" s="58" t="inlineStr">
        <is>
          <t>N/A</t>
        </is>
      </c>
      <c r="AQ24" s="57" t="n">
        <v>0</v>
      </c>
      <c r="AR24" s="57" t="n">
        <v>0</v>
      </c>
      <c r="AS24" s="57" t="n">
        <v>0</v>
      </c>
      <c r="AT24" s="54" t="inlineStr">
        <is>
          <t>Yes</t>
        </is>
      </c>
      <c r="AU24" s="58" t="inlineStr">
        <is>
          <t>N/A</t>
        </is>
      </c>
      <c r="AV24" s="57" t="n">
        <v>0.6</v>
      </c>
      <c r="AW24" s="57" t="n">
        <v>1</v>
      </c>
      <c r="AX24" s="57" t="n">
        <v>0.4</v>
      </c>
      <c r="AY24" s="54" t="inlineStr">
        <is>
          <t>Yes</t>
        </is>
      </c>
      <c r="AZ24" s="58" t="inlineStr">
        <is>
          <t>N/A</t>
        </is>
      </c>
    </row>
    <row r="25">
      <c r="A25" s="55" t="inlineStr">
        <is>
          <t>war</t>
        </is>
      </c>
      <c r="B25" s="56" t="inlineStr">
        <is>
          <t>Genre</t>
        </is>
      </c>
      <c r="C25" s="57" t="n">
        <v>0</v>
      </c>
      <c r="D25" s="57" t="n">
        <v>0</v>
      </c>
      <c r="E25" s="57" t="n">
        <v>0</v>
      </c>
      <c r="F25" s="54" t="inlineStr">
        <is>
          <t>Yes</t>
        </is>
      </c>
      <c r="G25" s="58" t="inlineStr">
        <is>
          <t>N/A</t>
        </is>
      </c>
      <c r="H25" s="57" t="n">
        <v>0</v>
      </c>
      <c r="I25" s="57" t="n">
        <v>0</v>
      </c>
      <c r="J25" s="57" t="n">
        <v>0</v>
      </c>
      <c r="K25" s="54" t="inlineStr">
        <is>
          <t>Yes</t>
        </is>
      </c>
      <c r="L25" s="58" t="inlineStr">
        <is>
          <t>N/A</t>
        </is>
      </c>
      <c r="M25" s="57" t="n">
        <v>0</v>
      </c>
      <c r="N25" s="57" t="n">
        <v>0</v>
      </c>
      <c r="O25" s="57" t="n">
        <v>0</v>
      </c>
      <c r="P25" s="54" t="inlineStr">
        <is>
          <t>Yes</t>
        </is>
      </c>
      <c r="Q25" s="58" t="inlineStr">
        <is>
          <t>N/A</t>
        </is>
      </c>
      <c r="R25" s="57" t="n">
        <v>0</v>
      </c>
      <c r="S25" s="57" t="n">
        <v>0</v>
      </c>
      <c r="T25" s="57" t="n">
        <v>0</v>
      </c>
      <c r="U25" s="54" t="inlineStr">
        <is>
          <t>Yes</t>
        </is>
      </c>
      <c r="V25" s="58" t="inlineStr">
        <is>
          <t>N/A</t>
        </is>
      </c>
      <c r="W25" s="57" t="n">
        <v>0</v>
      </c>
      <c r="X25" s="57" t="n">
        <v>0</v>
      </c>
      <c r="Y25" s="57" t="n">
        <v>0</v>
      </c>
      <c r="Z25" s="54" t="inlineStr">
        <is>
          <t>Yes</t>
        </is>
      </c>
      <c r="AA25" s="58" t="inlineStr">
        <is>
          <t>N/A</t>
        </is>
      </c>
      <c r="AB25" s="57" t="n">
        <v>0</v>
      </c>
      <c r="AC25" s="57" t="n">
        <v>0</v>
      </c>
      <c r="AD25" s="57" t="n">
        <v>0</v>
      </c>
      <c r="AE25" s="54" t="inlineStr">
        <is>
          <t>Yes</t>
        </is>
      </c>
      <c r="AF25" s="58" t="inlineStr">
        <is>
          <t>N/A</t>
        </is>
      </c>
      <c r="AG25" s="57" t="n">
        <v>0</v>
      </c>
      <c r="AH25" s="57" t="n">
        <v>0</v>
      </c>
      <c r="AI25" s="57" t="n">
        <v>0</v>
      </c>
      <c r="AJ25" s="54" t="inlineStr">
        <is>
          <t>Yes</t>
        </is>
      </c>
      <c r="AK25" s="58" t="inlineStr">
        <is>
          <t>N/A</t>
        </is>
      </c>
      <c r="AL25" s="57" t="n">
        <v>0</v>
      </c>
      <c r="AM25" s="57" t="n">
        <v>0</v>
      </c>
      <c r="AN25" s="57" t="n">
        <v>0</v>
      </c>
      <c r="AO25" s="54" t="inlineStr">
        <is>
          <t>Yes</t>
        </is>
      </c>
      <c r="AP25" s="58" t="inlineStr">
        <is>
          <t>N/A</t>
        </is>
      </c>
      <c r="AQ25" s="57" t="n">
        <v>0</v>
      </c>
      <c r="AR25" s="57" t="n">
        <v>0</v>
      </c>
      <c r="AS25" s="57" t="n">
        <v>0</v>
      </c>
      <c r="AT25" s="54" t="inlineStr">
        <is>
          <t>Yes</t>
        </is>
      </c>
      <c r="AU25" s="58" t="inlineStr">
        <is>
          <t>N/A</t>
        </is>
      </c>
      <c r="AV25" s="57" t="n">
        <v>0</v>
      </c>
      <c r="AW25" s="57" t="n">
        <v>0</v>
      </c>
      <c r="AX25" s="57" t="n">
        <v>0</v>
      </c>
      <c r="AY25" s="54" t="inlineStr">
        <is>
          <t>Yes</t>
        </is>
      </c>
      <c r="AZ25" s="58" t="inlineStr">
        <is>
          <t>N/A</t>
        </is>
      </c>
    </row>
    <row r="26">
      <c r="A26" s="55" t="inlineStr">
        <is>
          <t>western</t>
        </is>
      </c>
      <c r="B26" s="56" t="inlineStr">
        <is>
          <t>Genre</t>
        </is>
      </c>
      <c r="C26" s="57" t="n">
        <v>0</v>
      </c>
      <c r="D26" s="57" t="n">
        <v>0</v>
      </c>
      <c r="E26" s="57" t="n">
        <v>0</v>
      </c>
      <c r="F26" s="54" t="inlineStr">
        <is>
          <t>Yes</t>
        </is>
      </c>
      <c r="G26" s="58" t="inlineStr">
        <is>
          <t>N/A</t>
        </is>
      </c>
      <c r="H26" s="57" t="n">
        <v>0</v>
      </c>
      <c r="I26" s="57" t="n">
        <v>0</v>
      </c>
      <c r="J26" s="57" t="n">
        <v>0</v>
      </c>
      <c r="K26" s="54" t="inlineStr">
        <is>
          <t>Yes</t>
        </is>
      </c>
      <c r="L26" s="58" t="inlineStr">
        <is>
          <t>N/A</t>
        </is>
      </c>
      <c r="M26" s="57" t="n">
        <v>0</v>
      </c>
      <c r="N26" s="57" t="n">
        <v>0</v>
      </c>
      <c r="O26" s="57" t="n">
        <v>0</v>
      </c>
      <c r="P26" s="54" t="inlineStr">
        <is>
          <t>Yes</t>
        </is>
      </c>
      <c r="Q26" s="58" t="inlineStr">
        <is>
          <t>N/A</t>
        </is>
      </c>
      <c r="R26" s="57" t="n">
        <v>0</v>
      </c>
      <c r="S26" s="57" t="n">
        <v>0</v>
      </c>
      <c r="T26" s="57" t="n">
        <v>0</v>
      </c>
      <c r="U26" s="54" t="inlineStr">
        <is>
          <t>Yes</t>
        </is>
      </c>
      <c r="V26" s="58" t="inlineStr">
        <is>
          <t>N/A</t>
        </is>
      </c>
      <c r="W26" s="57" t="n">
        <v>0</v>
      </c>
      <c r="X26" s="57" t="n">
        <v>0</v>
      </c>
      <c r="Y26" s="57" t="n">
        <v>0</v>
      </c>
      <c r="Z26" s="54" t="inlineStr">
        <is>
          <t>Yes</t>
        </is>
      </c>
      <c r="AA26" s="58" t="inlineStr">
        <is>
          <t>N/A</t>
        </is>
      </c>
      <c r="AB26" s="57" t="n">
        <v>0</v>
      </c>
      <c r="AC26" s="57" t="n">
        <v>0</v>
      </c>
      <c r="AD26" s="57" t="n">
        <v>0</v>
      </c>
      <c r="AE26" s="54" t="inlineStr">
        <is>
          <t>Yes</t>
        </is>
      </c>
      <c r="AF26" s="58" t="inlineStr">
        <is>
          <t>N/A</t>
        </is>
      </c>
      <c r="AG26" s="57" t="n">
        <v>0</v>
      </c>
      <c r="AH26" s="57" t="n">
        <v>0</v>
      </c>
      <c r="AI26" s="57" t="n">
        <v>0</v>
      </c>
      <c r="AJ26" s="54" t="inlineStr">
        <is>
          <t>Yes</t>
        </is>
      </c>
      <c r="AK26" s="58" t="inlineStr">
        <is>
          <t>N/A</t>
        </is>
      </c>
      <c r="AL26" s="57" t="n">
        <v>0</v>
      </c>
      <c r="AM26" s="57" t="n">
        <v>0</v>
      </c>
      <c r="AN26" s="57" t="n">
        <v>0</v>
      </c>
      <c r="AO26" s="54" t="inlineStr">
        <is>
          <t>Yes</t>
        </is>
      </c>
      <c r="AP26" s="58" t="inlineStr">
        <is>
          <t>N/A</t>
        </is>
      </c>
      <c r="AQ26" s="57" t="n">
        <v>0</v>
      </c>
      <c r="AR26" s="57" t="n">
        <v>0</v>
      </c>
      <c r="AS26" s="57" t="n">
        <v>0</v>
      </c>
      <c r="AT26" s="54" t="inlineStr">
        <is>
          <t>Yes</t>
        </is>
      </c>
      <c r="AU26" s="58" t="inlineStr">
        <is>
          <t>N/A</t>
        </is>
      </c>
      <c r="AV26" s="57" t="n">
        <v>0</v>
      </c>
      <c r="AW26" s="57" t="n">
        <v>0</v>
      </c>
      <c r="AX26" s="57" t="n">
        <v>0</v>
      </c>
      <c r="AY26" s="54" t="inlineStr">
        <is>
          <t>Yes</t>
        </is>
      </c>
      <c r="AZ26" s="5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26" min="1" max="1"/>
    <col width="40" customWidth="1" style="26" min="2" max="2"/>
    <col width="10" customWidth="1" style="26" min="3" max="3"/>
    <col width="10" customWidth="1" style="26" min="4" max="4"/>
    <col width="22" customWidth="1" style="26" min="5" max="5"/>
    <col width="70" customWidth="1" style="26" min="6" max="6"/>
    <col width="60" customWidth="1" style="26" min="7" max="7"/>
  </cols>
  <sheetData>
    <row r="1">
      <c r="A1" s="47" t="inlineStr">
        <is>
          <t>#</t>
        </is>
      </c>
      <c r="B1" s="47" t="inlineStr">
        <is>
          <t>Observation</t>
        </is>
      </c>
      <c r="C1" s="47" t="inlineStr">
        <is>
          <t>Session(s)</t>
        </is>
      </c>
      <c r="D1" s="47" t="inlineStr">
        <is>
          <t>Severity</t>
        </is>
      </c>
      <c r="E1" s="47" t="inlineStr">
        <is>
          <t>Category</t>
        </is>
      </c>
      <c r="F1" s="47" t="inlineStr">
        <is>
          <t>Detail</t>
        </is>
      </c>
      <c r="G1" s="47" t="inlineStr">
        <is>
          <t>Resolution</t>
        </is>
      </c>
    </row>
    <row r="2">
      <c r="A2" s="48" t="n">
        <v>1</v>
      </c>
      <c r="B2" s="48" t="inlineStr">
        <is>
          <t>Zero meta caps in S1–S5</t>
        </is>
      </c>
      <c r="C2" s="48" t="inlineStr">
        <is>
          <t>S1–S5</t>
        </is>
      </c>
      <c r="D2" s="59" t="inlineStr">
        <is>
          <t>Pass</t>
        </is>
      </c>
      <c r="E2" s="48" t="inlineStr">
        <is>
          <t>Validation criteria #1</t>
        </is>
      </c>
      <c r="F2" s="48" t="inlineStr">
        <is>
          <t>All 5 replay sessions produce 0 meta-dimension caps. Intensity, tone, pacing all stay within ±1.0.</t>
        </is>
      </c>
      <c r="G2" s="48" t="inlineStr">
        <is>
          <t>Criteria met. Cap-aware scaling works as designed.</t>
        </is>
      </c>
    </row>
    <row r="3">
      <c r="A3" s="48" t="n">
        <v>2</v>
      </c>
      <c r="B3" s="48" t="inlineStr">
        <is>
          <t>Genre dims unchanged by scaling</t>
        </is>
      </c>
      <c r="C3" s="48" t="inlineStr">
        <is>
          <t>S1–S5</t>
        </is>
      </c>
      <c r="D3" s="59" t="inlineStr">
        <is>
          <t>Pass</t>
        </is>
      </c>
      <c r="E3" s="48" t="inlineStr">
        <is>
          <t>Validation criteria #3</t>
        </is>
      </c>
      <c r="F3" s="48" t="inlineStr">
        <is>
          <t>Genre dimensions are identical to pre-scaling values. Scaling only applies to meta dims.</t>
        </is>
      </c>
      <c r="G3" s="48" t="inlineStr">
        <is>
          <t>Criteria met. Genre dimensions unaffected.</t>
        </is>
      </c>
    </row>
    <row r="4">
      <c r="A4" s="48" t="n">
        <v>3</v>
      </c>
      <c r="B4" s="48" t="inlineStr">
        <is>
          <t>S1 intensity: 1.000 → 0.956</t>
        </is>
      </c>
      <c r="C4" s="48" t="inlineStr">
        <is>
          <t>S1</t>
        </is>
      </c>
      <c r="D4" s="59" t="inlineStr">
        <is>
          <t>Pass</t>
        </is>
      </c>
      <c r="E4" s="48" t="inlineStr">
        <is>
          <t>Scaling effectiveness</t>
        </is>
      </c>
      <c r="F4" s="48" t="inlineStr">
        <is>
          <t>Previously capped at 1.0. Now 0.956 with 14 scaling activations. Signal preserved.</t>
        </is>
      </c>
      <c r="G4" s="48" t="inlineStr">
        <is>
          <t>Scaling eliminated the cap while retaining strong intensity signal.</t>
        </is>
      </c>
    </row>
    <row r="5">
      <c r="A5" s="48" t="n">
        <v>4</v>
      </c>
      <c r="B5" s="48" t="inlineStr">
        <is>
          <t>S5 tone: 1.000 → 0.845</t>
        </is>
      </c>
      <c r="C5" s="48" t="inlineStr">
        <is>
          <t>S5</t>
        </is>
      </c>
      <c r="D5" s="59" t="inlineStr">
        <is>
          <t>Pass</t>
        </is>
      </c>
      <c r="E5" s="48" t="inlineStr">
        <is>
          <t>Scaling effectiveness</t>
        </is>
      </c>
      <c r="F5" s="48" t="inlineStr">
        <is>
          <t>Previously capped at 1.0 (raw 1.396, 0.396 wasted). Now 0.845 with meaningful headroom.</t>
        </is>
      </c>
      <c r="G5" s="48" t="inlineStr">
        <is>
          <t>Scaling recovered 0.155 units of differentiation space.</t>
        </is>
      </c>
    </row>
    <row r="6">
      <c r="A6" s="48" t="n">
        <v>5</v>
      </c>
      <c r="B6" s="48" t="inlineStr">
        <is>
          <t>S6 all-light: no boundary hit</t>
        </is>
      </c>
      <c r="C6" s="48" t="inlineStr">
        <is>
          <t>S6</t>
        </is>
      </c>
      <c r="D6" s="59" t="inlineStr">
        <is>
          <t>Pass</t>
        </is>
      </c>
      <c r="E6" s="48" t="inlineStr">
        <is>
          <t>Edge case</t>
        </is>
      </c>
      <c r="F6" s="48" t="inlineStr">
        <is>
          <t>tone=+0.903, intensity=-0.484. Deep pushes in both directions without hitting boundary.</t>
        </is>
      </c>
      <c r="G6" s="48" t="inlineStr">
        <is>
          <t>Cap-aware scaling handles unidirectional light picks correctly.</t>
        </is>
      </c>
    </row>
    <row r="7">
      <c r="A7" s="48" t="n">
        <v>6</v>
      </c>
      <c r="B7" s="48" t="inlineStr">
        <is>
          <t>S7 mixed: 5 scaling activations</t>
        </is>
      </c>
      <c r="C7" s="48" t="inlineStr">
        <is>
          <t>S7</t>
        </is>
      </c>
      <c r="D7" s="60" t="inlineStr">
        <is>
          <t>Expected</t>
        </is>
      </c>
      <c r="E7" s="48" t="inlineStr">
        <is>
          <t>Edge case</t>
        </is>
      </c>
      <c r="F7" s="48" t="inlineStr">
        <is>
          <t>Spec predicted ≤3 activations for alternating picks. Actual: 5. Alternating dark/light still pushes some dims into headroom zone.</t>
        </is>
      </c>
      <c r="G7" s="48" t="inlineStr">
        <is>
          <t>Threshold was arbitrary. 5 activations is reasonable for this pattern.</t>
        </is>
      </c>
    </row>
    <row r="8">
      <c r="A8" s="48" t="n">
        <v>7</v>
      </c>
      <c r="B8" s="48" t="inlineStr">
        <is>
          <t>S8 popularity capped at +1.000</t>
        </is>
      </c>
      <c r="C8" s="48" t="inlineStr">
        <is>
          <t>S8</t>
        </is>
      </c>
      <c r="D8" s="61" t="inlineStr">
        <is>
          <t>Fixed</t>
        </is>
      </c>
      <c r="E8" s="48" t="inlineStr">
        <is>
          <t>Bug found</t>
        </is>
      </c>
      <c r="F8" s="48" t="inlineStr">
        <is>
          <t>"Both" on 7 consecutive questions. Q3+Q5 both contribute popularity. Combined "both" delta (0.30+0.30=0.54) jumped from headroom=0.52 to 1.02 in a single step, bypassing per-step headroom check.</t>
        </is>
      </c>
      <c r="G8" s="48" t="inlineStr">
        <is>
          <t>Fixed: added third term to scale formula: headroom / Math.abs(weightedDelta). Caps effective delta at remaining headroom. Only binds when |delta| &gt; headroom.</t>
        </is>
      </c>
    </row>
    <row r="9">
      <c r="A9" s="48" t="n">
        <v>8</v>
      </c>
      <c r="B9" s="48" t="inlineStr">
        <is>
          <t>S9 "Neither" meta-safe</t>
        </is>
      </c>
      <c r="C9" s="48" t="inlineStr">
        <is>
          <t>S9</t>
        </is>
      </c>
      <c r="D9" s="59" t="inlineStr">
        <is>
          <t>Pass</t>
        </is>
      </c>
      <c r="E9" s="48" t="inlineStr">
        <is>
          <t>Edge case</t>
        </is>
      </c>
      <c r="F9" s="48" t="inlineStr">
        <is>
          <t>5× Neither answers. Only genre dimensions affected (reduced). Meta scaling barely activated (2 activations).</t>
        </is>
      </c>
      <c r="G9" s="48" t="inlineStr">
        <is>
          <t>"Neither" correctly routes through genre dims only.</t>
        </is>
      </c>
    </row>
    <row r="10">
      <c r="A10" s="48" t="n">
        <v>9</v>
      </c>
      <c r="B10" s="48" t="inlineStr">
        <is>
          <t>S10 intensity=0.999</t>
        </is>
      </c>
      <c r="C10" s="48" t="inlineStr">
        <is>
          <t>S10</t>
        </is>
      </c>
      <c r="D10" s="62" t="inlineStr">
        <is>
          <t>Info</t>
        </is>
      </c>
      <c r="E10" s="48" t="inlineStr">
        <is>
          <t>Edge case</t>
        </is>
      </c>
      <c r="F10" s="48" t="inlineStr">
        <is>
          <t>Narrow 2-cluster (Dark Thrillers + Action), all-A picks. intensity=0.999 — right at boundary. Scaling held.</t>
        </is>
      </c>
      <c r="G10" s="48" t="inlineStr">
        <is>
          <t>Boundary case works. Monitor if future pool changes push this over.</t>
        </is>
      </c>
    </row>
    <row r="11">
      <c r="A11" s="48" t="n">
        <v>10</v>
      </c>
      <c r="B11" s="48" t="inlineStr">
        <is>
          <t>Adaptive pairs differ from spec predictions</t>
        </is>
      </c>
      <c r="C11" s="48" t="inlineStr">
        <is>
          <t>S1–S5</t>
        </is>
      </c>
      <c r="D11" s="60" t="inlineStr">
        <is>
          <t>Expected</t>
        </is>
      </c>
      <c r="E11" s="48" t="inlineStr">
        <is>
          <t>Prediction accuracy</t>
        </is>
      </c>
      <c r="F11" s="48" t="inlineStr">
        <is>
          <t>Per-step scaling changes the interim vector, which changes ambiguity rankings, which changes adaptive pair selection (Q6–Q10). Different pairs = different final vectors.</t>
        </is>
      </c>
      <c r="G11" s="48" t="inlineStr">
        <is>
          <t>Expected side-effect. Predictions in spec were pre-scaling estimates. Actual adaptive selection is correct.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5" min="1" max="1"/>
    <col width="26" customWidth="1" style="25" min="2" max="2"/>
    <col width="45" customWidth="1" style="25" min="3" max="3"/>
    <col width="12" customWidth="1" style="25" min="4" max="28"/>
  </cols>
  <sheetData>
    <row r="1" ht="26.25" customHeight="1" s="26">
      <c r="A1" s="27" t="inlineStr">
        <is>
          <t>#</t>
        </is>
      </c>
      <c r="B1" s="27" t="inlineStr">
        <is>
          <t>Cluster</t>
        </is>
      </c>
      <c r="C1" s="27" t="inlineStr">
        <is>
          <t>Description</t>
        </is>
      </c>
      <c r="D1" s="27" t="inlineStr">
        <is>
          <t>action</t>
        </is>
      </c>
      <c r="E1" s="27" t="inlineStr">
        <is>
          <t>adventure</t>
        </is>
      </c>
      <c r="F1" s="27" t="inlineStr">
        <is>
          <t>animation</t>
        </is>
      </c>
      <c r="G1" s="27" t="inlineStr">
        <is>
          <t>anime</t>
        </is>
      </c>
      <c r="H1" s="27" t="inlineStr">
        <is>
          <t>comedy</t>
        </is>
      </c>
      <c r="I1" s="27" t="inlineStr">
        <is>
          <t>crime</t>
        </is>
      </c>
      <c r="J1" s="27" t="inlineStr">
        <is>
          <t>documentary</t>
        </is>
      </c>
      <c r="K1" s="27" t="inlineStr">
        <is>
          <t>drama</t>
        </is>
      </c>
      <c r="L1" s="27" t="inlineStr">
        <is>
          <t>family</t>
        </is>
      </c>
      <c r="M1" s="27" t="inlineStr">
        <is>
          <t>fantasy</t>
        </is>
      </c>
      <c r="N1" s="27" t="inlineStr">
        <is>
          <t>history</t>
        </is>
      </c>
      <c r="O1" s="27" t="inlineStr">
        <is>
          <t>horror</t>
        </is>
      </c>
      <c r="P1" s="27" t="inlineStr">
        <is>
          <t>musical</t>
        </is>
      </c>
      <c r="Q1" s="27" t="inlineStr">
        <is>
          <t>mystery</t>
        </is>
      </c>
      <c r="R1" s="27" t="inlineStr">
        <is>
          <t>reality</t>
        </is>
      </c>
      <c r="S1" s="27" t="inlineStr">
        <is>
          <t>romance</t>
        </is>
      </c>
      <c r="T1" s="27" t="inlineStr">
        <is>
          <t>scifi</t>
        </is>
      </c>
      <c r="U1" s="27" t="inlineStr">
        <is>
          <t>thriller</t>
        </is>
      </c>
      <c r="V1" s="27" t="inlineStr">
        <is>
          <t>war</t>
        </is>
      </c>
      <c r="W1" s="27" t="inlineStr">
        <is>
          <t>western</t>
        </is>
      </c>
      <c r="X1" s="27" t="inlineStr">
        <is>
          <t>tone</t>
        </is>
      </c>
      <c r="Y1" s="27" t="inlineStr">
        <is>
          <t>pacing</t>
        </is>
      </c>
      <c r="Z1" s="27" t="inlineStr">
        <is>
          <t>era</t>
        </is>
      </c>
      <c r="AA1" s="27" t="inlineStr">
        <is>
          <t>popularity</t>
        </is>
      </c>
      <c r="AB1" s="27" t="inlineStr">
        <is>
          <t>intensity</t>
        </is>
      </c>
    </row>
    <row r="2" ht="15" customHeight="1" s="26">
      <c r="A2" s="29" t="n">
        <v>1</v>
      </c>
      <c r="B2" s="41" t="inlineStr">
        <is>
          <t>Feel-Good &amp; Funny</t>
        </is>
      </c>
      <c r="C2" s="63" t="inlineStr">
        <is>
          <t>Light comedies, sitcoms, and uplifting stories</t>
        </is>
      </c>
      <c r="D2" s="29" t="n"/>
      <c r="E2" s="29" t="n"/>
      <c r="F2" s="29" t="n"/>
      <c r="G2" s="29" t="n"/>
      <c r="H2" s="64" t="n">
        <v>0.9</v>
      </c>
      <c r="I2" s="29" t="n"/>
      <c r="J2" s="29" t="n"/>
      <c r="K2" s="64" t="n">
        <v>0.2</v>
      </c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64" t="n">
        <v>0.8</v>
      </c>
      <c r="Y2" s="64" t="n">
        <v>0.3</v>
      </c>
      <c r="Z2" s="29" t="n"/>
      <c r="AA2" s="29" t="n"/>
      <c r="AB2" s="65" t="n">
        <v>-0.4</v>
      </c>
    </row>
    <row r="3" ht="15" customHeight="1" s="26">
      <c r="A3" s="29" t="n">
        <v>2</v>
      </c>
      <c r="B3" s="41" t="inlineStr">
        <is>
          <t>Rom-Coms &amp; Love Stories</t>
        </is>
      </c>
      <c r="C3" s="63" t="inlineStr">
        <is>
          <t>Romantic comedies and sweeping romances</t>
        </is>
      </c>
      <c r="D3" s="29" t="n"/>
      <c r="E3" s="29" t="n"/>
      <c r="F3" s="29" t="n"/>
      <c r="G3" s="29" t="n"/>
      <c r="H3" s="64" t="n">
        <v>0.6</v>
      </c>
      <c r="I3" s="29" t="n"/>
      <c r="J3" s="29" t="n"/>
      <c r="K3" s="64" t="n">
        <v>0.3</v>
      </c>
      <c r="L3" s="29" t="n"/>
      <c r="M3" s="29" t="n"/>
      <c r="N3" s="29" t="n"/>
      <c r="O3" s="29" t="n"/>
      <c r="P3" s="29" t="n"/>
      <c r="Q3" s="29" t="n"/>
      <c r="R3" s="29" t="n"/>
      <c r="S3" s="64" t="n">
        <v>0.9</v>
      </c>
      <c r="T3" s="29" t="n"/>
      <c r="U3" s="29" t="n"/>
      <c r="V3" s="29" t="n"/>
      <c r="W3" s="29" t="n"/>
      <c r="X3" s="64" t="n">
        <v>0.7</v>
      </c>
      <c r="Y3" s="29" t="n"/>
      <c r="Z3" s="29" t="n"/>
      <c r="AA3" s="29" t="n"/>
      <c r="AB3" s="65" t="n">
        <v>-0.3</v>
      </c>
    </row>
    <row r="4" ht="15" customHeight="1" s="26">
      <c r="A4" s="29" t="n">
        <v>3</v>
      </c>
      <c r="B4" s="41" t="inlineStr">
        <is>
          <t>Dark Thrillers</t>
        </is>
      </c>
      <c r="C4" s="63" t="inlineStr">
        <is>
          <t>Tense, gritty crime and suspense</t>
        </is>
      </c>
      <c r="D4" s="29" t="n"/>
      <c r="E4" s="29" t="n"/>
      <c r="F4" s="29" t="n"/>
      <c r="G4" s="29" t="n"/>
      <c r="H4" s="29" t="n"/>
      <c r="I4" s="64" t="n">
        <v>0.6</v>
      </c>
      <c r="J4" s="29" t="n"/>
      <c r="K4" s="29" t="n"/>
      <c r="L4" s="29" t="n"/>
      <c r="M4" s="29" t="n"/>
      <c r="N4" s="29" t="n"/>
      <c r="O4" s="29" t="n"/>
      <c r="P4" s="29" t="n"/>
      <c r="Q4" s="64" t="n">
        <v>0.3</v>
      </c>
      <c r="R4" s="29" t="n"/>
      <c r="S4" s="29" t="n"/>
      <c r="T4" s="29" t="n"/>
      <c r="U4" s="64" t="n">
        <v>0.9</v>
      </c>
      <c r="V4" s="29" t="n"/>
      <c r="W4" s="29" t="n"/>
      <c r="X4" s="65" t="n">
        <v>-0.8</v>
      </c>
      <c r="Y4" s="64" t="n">
        <v>0.7</v>
      </c>
      <c r="Z4" s="29" t="n"/>
      <c r="AA4" s="29" t="n"/>
      <c r="AB4" s="64" t="n">
        <v>0.7</v>
      </c>
    </row>
    <row r="5" ht="15" customHeight="1" s="26">
      <c r="A5" s="29" t="n">
        <v>4</v>
      </c>
      <c r="B5" s="41" t="inlineStr">
        <is>
          <t>Mind-Bending Mysteries</t>
        </is>
      </c>
      <c r="C5" s="63" t="inlineStr">
        <is>
          <t>Psychological puzzles and twist-driven stories</t>
        </is>
      </c>
      <c r="D5" s="29" t="n"/>
      <c r="E5" s="29" t="n"/>
      <c r="F5" s="29" t="n"/>
      <c r="G5" s="29" t="n"/>
      <c r="H5" s="29" t="n"/>
      <c r="I5" s="29" t="n"/>
      <c r="J5" s="29" t="n"/>
      <c r="K5" s="64" t="n">
        <v>0.3</v>
      </c>
      <c r="L5" s="29" t="n"/>
      <c r="M5" s="29" t="n"/>
      <c r="N5" s="29" t="n"/>
      <c r="O5" s="29" t="n"/>
      <c r="P5" s="29" t="n"/>
      <c r="Q5" s="64" t="n">
        <v>0.9</v>
      </c>
      <c r="R5" s="29" t="n"/>
      <c r="S5" s="29" t="n"/>
      <c r="T5" s="64" t="n">
        <v>0.2</v>
      </c>
      <c r="U5" s="64" t="n">
        <v>0.5</v>
      </c>
      <c r="V5" s="29" t="n"/>
      <c r="W5" s="29" t="n"/>
      <c r="X5" s="65" t="n">
        <v>-0.5</v>
      </c>
      <c r="Y5" s="65" t="n">
        <v>-0.3</v>
      </c>
      <c r="Z5" s="29" t="n"/>
      <c r="AA5" s="29" t="n"/>
      <c r="AB5" s="64" t="n">
        <v>0.5</v>
      </c>
    </row>
    <row r="6" ht="15" customHeight="1" s="26">
      <c r="A6" s="29" t="n">
        <v>5</v>
      </c>
      <c r="B6" s="41" t="inlineStr">
        <is>
          <t>Epic Sci-Fi &amp; Fantasy</t>
        </is>
      </c>
      <c r="C6" s="63" t="inlineStr">
        <is>
          <t>Grand worlds, speculative stories, and mythic adventures</t>
        </is>
      </c>
      <c r="D6" s="29" t="n"/>
      <c r="E6" s="64" t="n">
        <v>0.5</v>
      </c>
      <c r="F6" s="29" t="n"/>
      <c r="G6" s="29" t="n"/>
      <c r="H6" s="29" t="n"/>
      <c r="I6" s="29" t="n"/>
      <c r="J6" s="29" t="n"/>
      <c r="K6" s="29" t="n"/>
      <c r="L6" s="29" t="n"/>
      <c r="M6" s="64" t="n">
        <v>0.8</v>
      </c>
      <c r="N6" s="29" t="n"/>
      <c r="O6" s="29" t="n"/>
      <c r="P6" s="29" t="n"/>
      <c r="Q6" s="29" t="n"/>
      <c r="R6" s="29" t="n"/>
      <c r="S6" s="29" t="n"/>
      <c r="T6" s="64" t="n">
        <v>0.8</v>
      </c>
      <c r="U6" s="29" t="n"/>
      <c r="V6" s="29" t="n"/>
      <c r="W6" s="29" t="n"/>
      <c r="X6" s="29" t="n"/>
      <c r="Y6" s="65" t="n">
        <v>-0.2</v>
      </c>
      <c r="Z6" s="65" t="n">
        <v>-0.2</v>
      </c>
      <c r="AA6" s="29" t="n"/>
      <c r="AB6" s="64" t="n">
        <v>0.4</v>
      </c>
    </row>
    <row r="7" ht="15" customHeight="1" s="26">
      <c r="A7" s="29" t="n">
        <v>6</v>
      </c>
      <c r="B7" s="41" t="inlineStr">
        <is>
          <t>Action &amp; Adrenaline</t>
        </is>
      </c>
      <c r="C7" s="63" t="inlineStr">
        <is>
          <t>Explosions, fights, and high-stakes chases</t>
        </is>
      </c>
      <c r="D7" s="64" t="n">
        <v>0.9</v>
      </c>
      <c r="E7" s="64" t="n">
        <v>0.5</v>
      </c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64" t="n">
        <v>0.3</v>
      </c>
      <c r="V7" s="29" t="n"/>
      <c r="W7" s="29" t="n"/>
      <c r="X7" s="65" t="n">
        <v>-0.2</v>
      </c>
      <c r="Y7" s="64" t="n">
        <v>0.9</v>
      </c>
      <c r="Z7" s="29" t="n"/>
      <c r="AA7" s="29" t="n"/>
      <c r="AB7" s="64" t="n">
        <v>0.75</v>
      </c>
    </row>
    <row r="8" ht="15" customHeight="1" s="26">
      <c r="A8" s="29" t="n">
        <v>7</v>
      </c>
      <c r="B8" s="41" t="inlineStr">
        <is>
          <t>Heartfelt Drama</t>
        </is>
      </c>
      <c r="C8" s="63" t="inlineStr">
        <is>
          <t>Character-driven emotional stories</t>
        </is>
      </c>
      <c r="D8" s="29" t="n"/>
      <c r="E8" s="29" t="n"/>
      <c r="F8" s="29" t="n"/>
      <c r="G8" s="29" t="n"/>
      <c r="H8" s="29" t="n"/>
      <c r="I8" s="29" t="n"/>
      <c r="J8" s="29" t="n"/>
      <c r="K8" s="64" t="n">
        <v>0.9</v>
      </c>
      <c r="L8" s="29" t="n"/>
      <c r="M8" s="29" t="n"/>
      <c r="N8" s="29" t="n"/>
      <c r="O8" s="29" t="n"/>
      <c r="P8" s="29" t="n"/>
      <c r="Q8" s="29" t="n"/>
      <c r="R8" s="29" t="n"/>
      <c r="S8" s="64" t="n">
        <v>0.2</v>
      </c>
      <c r="T8" s="29" t="n"/>
      <c r="U8" s="29" t="n"/>
      <c r="V8" s="29" t="n"/>
      <c r="W8" s="29" t="n"/>
      <c r="X8" s="64" t="n">
        <v>0.3</v>
      </c>
      <c r="Y8" s="65" t="n">
        <v>-0.4</v>
      </c>
      <c r="Z8" s="29" t="n"/>
      <c r="AA8" s="29" t="n"/>
      <c r="AB8" s="64" t="n">
        <v>0.4</v>
      </c>
    </row>
    <row r="9" ht="15" customHeight="1" s="26">
      <c r="A9" s="29" t="n">
        <v>8</v>
      </c>
      <c r="B9" s="41" t="inlineStr">
        <is>
          <t>True Crime &amp; Real Stories</t>
        </is>
      </c>
      <c r="C9" s="63" t="inlineStr">
        <is>
          <t>Documentaries, docuseries, and based-on-true-events</t>
        </is>
      </c>
      <c r="D9" s="29" t="n"/>
      <c r="E9" s="29" t="n"/>
      <c r="F9" s="29" t="n"/>
      <c r="G9" s="29" t="n"/>
      <c r="H9" s="29" t="n"/>
      <c r="I9" s="64" t="n">
        <v>0.5</v>
      </c>
      <c r="J9" s="64" t="n">
        <v>0.9</v>
      </c>
      <c r="K9" s="29" t="n"/>
      <c r="L9" s="29" t="n"/>
      <c r="M9" s="29" t="n"/>
      <c r="N9" s="64" t="n">
        <v>0.3</v>
      </c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65" t="n">
        <v>-0.5</v>
      </c>
      <c r="Y9" s="65" t="n">
        <v>-0.2</v>
      </c>
      <c r="Z9" s="29" t="n"/>
      <c r="AA9" s="29" t="n"/>
      <c r="AB9" s="64" t="n">
        <v>0.5</v>
      </c>
    </row>
    <row r="10" ht="15" customHeight="1" s="26">
      <c r="A10" s="29" t="n">
        <v>9</v>
      </c>
      <c r="B10" s="41" t="inlineStr">
        <is>
          <t>Horror &amp; Supernatural</t>
        </is>
      </c>
      <c r="C10" s="63" t="inlineStr">
        <is>
          <t>Scary, creepy, and unsettling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64" t="n">
        <v>0.9</v>
      </c>
      <c r="P10" s="29" t="n"/>
      <c r="Q10" s="64" t="n">
        <v>0.2</v>
      </c>
      <c r="R10" s="29" t="n"/>
      <c r="S10" s="29" t="n"/>
      <c r="T10" s="29" t="n"/>
      <c r="U10" s="64" t="n">
        <v>0.4</v>
      </c>
      <c r="V10" s="29" t="n"/>
      <c r="W10" s="29" t="n"/>
      <c r="X10" s="65" t="n">
        <v>-0.9</v>
      </c>
      <c r="Y10" s="64" t="n">
        <v>0.2</v>
      </c>
      <c r="Z10" s="29" t="n"/>
      <c r="AA10" s="29" t="n"/>
      <c r="AB10" s="64" t="n">
        <v>0.75</v>
      </c>
    </row>
    <row r="11" ht="15" customHeight="1" s="26">
      <c r="A11" s="29" t="n">
        <v>10</v>
      </c>
      <c r="B11" s="41" t="inlineStr">
        <is>
          <t>Anime &amp; Animation</t>
        </is>
      </c>
      <c r="C11" s="63" t="inlineStr">
        <is>
          <t>Anime, animated series, and animated films</t>
        </is>
      </c>
      <c r="D11" s="64" t="n">
        <v>0.3</v>
      </c>
      <c r="E11" s="29" t="n"/>
      <c r="F11" s="64" t="n">
        <v>0.9</v>
      </c>
      <c r="G11" s="29" t="n"/>
      <c r="H11" s="29" t="n"/>
      <c r="I11" s="29" t="n"/>
      <c r="J11" s="29" t="n"/>
      <c r="K11" s="29" t="n"/>
      <c r="L11" s="29" t="n"/>
      <c r="M11" s="64" t="n">
        <v>0.3</v>
      </c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64" t="n">
        <v>0.2</v>
      </c>
      <c r="Z11" s="29" t="n"/>
      <c r="AA11" s="29" t="n"/>
      <c r="AB11" s="64" t="n">
        <v>0.3</v>
      </c>
    </row>
    <row r="12" ht="15" customHeight="1" s="26">
      <c r="A12" s="29" t="n">
        <v>11</v>
      </c>
      <c r="B12" s="41" t="inlineStr">
        <is>
          <t>History &amp; War</t>
        </is>
      </c>
      <c r="C12" s="63" t="inlineStr">
        <is>
          <t>Period pieces, historical epics, and war stories</t>
        </is>
      </c>
      <c r="D12" s="29" t="n"/>
      <c r="E12" s="29" t="n"/>
      <c r="F12" s="29" t="n"/>
      <c r="G12" s="29" t="n"/>
      <c r="H12" s="29" t="n"/>
      <c r="I12" s="29" t="n"/>
      <c r="J12" s="29" t="n"/>
      <c r="K12" s="64" t="n">
        <v>0.6</v>
      </c>
      <c r="L12" s="29" t="n"/>
      <c r="M12" s="29" t="n"/>
      <c r="N12" s="64" t="n">
        <v>0.9</v>
      </c>
      <c r="O12" s="29" t="n"/>
      <c r="P12" s="29" t="n"/>
      <c r="Q12" s="29" t="n"/>
      <c r="R12" s="29" t="n"/>
      <c r="S12" s="29" t="n"/>
      <c r="T12" s="29" t="n"/>
      <c r="U12" s="29" t="n"/>
      <c r="V12" s="64" t="n">
        <v>0.7</v>
      </c>
      <c r="W12" s="29" t="n"/>
      <c r="X12" s="65" t="n">
        <v>-0.3</v>
      </c>
      <c r="Y12" s="65" t="n">
        <v>-0.5</v>
      </c>
      <c r="Z12" s="64" t="n">
        <v>0.7</v>
      </c>
      <c r="AA12" s="29" t="n"/>
      <c r="AB12" s="64" t="n">
        <v>0.5</v>
      </c>
    </row>
    <row r="13" ht="15" customHeight="1" s="26">
      <c r="A13" s="29" t="n">
        <v>12</v>
      </c>
      <c r="B13" s="41" t="inlineStr">
        <is>
          <t>Cult &amp; Indie</t>
        </is>
      </c>
      <c r="C13" s="63" t="inlineStr">
        <is>
          <t>Off-beat, niche, and under-the-radar gems</t>
        </is>
      </c>
      <c r="D13" s="29" t="n"/>
      <c r="E13" s="29" t="n"/>
      <c r="F13" s="29" t="n"/>
      <c r="G13" s="29" t="n"/>
      <c r="H13" s="64" t="n">
        <v>0.2</v>
      </c>
      <c r="I13" s="29" t="n"/>
      <c r="J13" s="29" t="n"/>
      <c r="K13" s="64" t="n">
        <v>0.3</v>
      </c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65" t="n">
        <v>-0.2</v>
      </c>
      <c r="Y13" s="29" t="n"/>
      <c r="Z13" s="29" t="n"/>
      <c r="AA13" s="65" t="n">
        <v>-0.8</v>
      </c>
      <c r="AB13" s="64" t="n">
        <v>0.2</v>
      </c>
    </row>
    <row r="14" ht="15" customHeight="1" s="26">
      <c r="A14" s="29" t="n">
        <v>13</v>
      </c>
      <c r="B14" s="41" t="inlineStr">
        <is>
          <t>Reality &amp; Entertainment</t>
        </is>
      </c>
      <c r="C14" s="63" t="inlineStr">
        <is>
          <t>Competition shows, reality TV, and entertainment</t>
        </is>
      </c>
      <c r="D14" s="29" t="n"/>
      <c r="E14" s="29" t="n"/>
      <c r="F14" s="29" t="n"/>
      <c r="G14" s="29" t="n"/>
      <c r="H14" s="64" t="n">
        <v>0.2</v>
      </c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64" t="n">
        <v>0.9</v>
      </c>
      <c r="S14" s="29" t="n"/>
      <c r="T14" s="29" t="n"/>
      <c r="U14" s="29" t="n"/>
      <c r="V14" s="29" t="n"/>
      <c r="W14" s="29" t="n"/>
      <c r="X14" s="64" t="n">
        <v>0.5</v>
      </c>
      <c r="Y14" s="64" t="n">
        <v>0.6</v>
      </c>
      <c r="Z14" s="29" t="n"/>
      <c r="AA14" s="64" t="n">
        <v>0.6</v>
      </c>
      <c r="AB14" s="65" t="n">
        <v>-0.2</v>
      </c>
    </row>
    <row r="15" ht="15" customHeight="1" s="26">
      <c r="A15" s="29" t="n">
        <v>14</v>
      </c>
      <c r="B15" s="41" t="inlineStr">
        <is>
          <t>Prestige &amp; Award-Winners</t>
        </is>
      </c>
      <c r="C15" s="63" t="inlineStr">
        <is>
          <t>Critically acclaimed, Oscar- and BAFTA-calibre</t>
        </is>
      </c>
      <c r="D15" s="29" t="n"/>
      <c r="E15" s="29" t="n"/>
      <c r="F15" s="29" t="n"/>
      <c r="G15" s="29" t="n"/>
      <c r="H15" s="29" t="n"/>
      <c r="I15" s="29" t="n"/>
      <c r="J15" s="64" t="n">
        <v>0.2</v>
      </c>
      <c r="K15" s="64" t="n">
        <v>0.7</v>
      </c>
      <c r="L15" s="29" t="n"/>
      <c r="M15" s="29" t="n"/>
      <c r="N15" s="64" t="n">
        <v>0.2</v>
      </c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65" t="n">
        <v>-0.3</v>
      </c>
      <c r="Y15" s="65" t="n">
        <v>-0.4</v>
      </c>
      <c r="Z15" s="29" t="n"/>
      <c r="AA15" s="65" t="n">
        <v>-0.4</v>
      </c>
      <c r="AB15" s="64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2026-02-17T19:52:49Z</dcterms:created>
  <dcterms:modified xmlns:dcterms="http://purl.org/dc/terms/" xmlns:xsi="http://www.w3.org/2001/XMLSchema-instance" xsi:type="dcterms:W3CDTF">2026-02-18T15:57:48Z</dcterms:modified>
  <cp:revision>0</cp:revision>
</cp:coreProperties>
</file>